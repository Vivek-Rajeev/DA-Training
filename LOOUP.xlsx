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C0738879-AF00-4A14-A0F3-BC02DB0286AB}" xr6:coauthVersionLast="47" xr6:coauthVersionMax="47" xr10:uidLastSave="{00000000-0000-0000-0000-000000000000}"/>
  <bookViews>
    <workbookView xWindow="-120" yWindow="-120" windowWidth="29040" windowHeight="15720" activeTab="1" xr2:uid="{AF247376-6CE2-44FA-B339-008D54C98B9F}"/>
  </bookViews>
  <sheets>
    <sheet name="Sheet2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2" i="1" l="1"/>
  <c r="R13" i="1"/>
  <c r="R19" i="1"/>
  <c r="R17" i="1"/>
  <c r="R18" i="1"/>
  <c r="O20" i="1"/>
  <c r="P19" i="1"/>
  <c r="O19" i="1"/>
  <c r="T11" i="1"/>
  <c r="I18" i="1"/>
  <c r="I17" i="1"/>
  <c r="O13" i="1"/>
  <c r="O12" i="1"/>
  <c r="J9" i="1"/>
  <c r="J8" i="1"/>
  <c r="O11" i="1"/>
  <c r="L6" i="1"/>
  <c r="L5" i="1"/>
</calcChain>
</file>

<file path=xl/sharedStrings.xml><?xml version="1.0" encoding="utf-8"?>
<sst xmlns="http://schemas.openxmlformats.org/spreadsheetml/2006/main" count="91" uniqueCount="41">
  <si>
    <t>DESCRIPTION</t>
  </si>
  <si>
    <t xml:space="preserve">TYPE </t>
  </si>
  <si>
    <t>VALUE</t>
  </si>
  <si>
    <t>S NO</t>
  </si>
  <si>
    <t>APPLE</t>
  </si>
  <si>
    <t>SAMSUNG</t>
  </si>
  <si>
    <t>ONEPLUS</t>
  </si>
  <si>
    <t>OPPO</t>
  </si>
  <si>
    <t>VIVO</t>
  </si>
  <si>
    <t>REDMI</t>
  </si>
  <si>
    <t xml:space="preserve">REALME </t>
  </si>
  <si>
    <t>PIXEL</t>
  </si>
  <si>
    <t>IQOO</t>
  </si>
  <si>
    <t>MOBILE</t>
  </si>
  <si>
    <t>EARPHONES</t>
  </si>
  <si>
    <t>LAPTOP</t>
  </si>
  <si>
    <t>VLOOKUP</t>
  </si>
  <si>
    <t>HLOOKUP</t>
  </si>
  <si>
    <t>REALME</t>
  </si>
  <si>
    <t>INDEX</t>
  </si>
  <si>
    <t>XLOOKUP</t>
  </si>
  <si>
    <t>FRUITS</t>
  </si>
  <si>
    <t>MANGO</t>
  </si>
  <si>
    <t>PAPAYA</t>
  </si>
  <si>
    <t>JACKFRUIT</t>
  </si>
  <si>
    <t>Sum</t>
  </si>
  <si>
    <t>Average</t>
  </si>
  <si>
    <t>Running Total</t>
  </si>
  <si>
    <t>Count</t>
  </si>
  <si>
    <t>Column2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</si>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</sst>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Sheet1!$O$10</c:f>
              <c:strCache>
                <c:ptCount val="1"/>
                <c:pt idx="0">
                  <c:v>HLOOKUP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Sheet1!$N$11:$N$13</c:f>
              <c:strCache>
                <c:ptCount val="3"/>
                <c:pt idx="0">
                  <c:v>VIVO</c:v>
                </c:pt>
                <c:pt idx="1">
                  <c:v>REALME</c:v>
                </c:pt>
                <c:pt idx="2">
                  <c:v>APPLE</c:v>
                </c:pt>
              </c:strCache>
            </c:strRef>
          </c:cat>
          <c:val>
            <c:numRef>
              <c:f>Sheet1!$O$11:$O$13</c:f>
              <c:numCache>
                <c:formatCode>General</c:formatCode>
                <c:ptCount val="3"/>
                <c:pt idx="0">
                  <c:v>35000</c:v>
                </c:pt>
                <c:pt idx="1">
                  <c:v>30000</c:v>
                </c:pt>
                <c:pt idx="2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B-4DEB-8EAE-5D6FC1EDA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40"/>
      <c:rotY val="25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5516999086095331E-2"/>
          <c:y val="0.16567300630257817"/>
          <c:w val="0.91980371715798614"/>
          <c:h val="0.56771693866665407"/>
        </c:manualLayout>
      </c:layout>
      <c:pie3DChart>
        <c:varyColors val="1"/>
        <c:ser>
          <c:idx val="0"/>
          <c:order val="0"/>
          <c:explosion val="32"/>
          <c:dPt>
            <c:idx val="0"/>
            <c:bubble3D val="0"/>
            <c:explosion val="2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EA4-4A3B-B835-48AE39DA73DF}"/>
              </c:ext>
            </c:extLst>
          </c:dPt>
          <c:dPt>
            <c:idx val="1"/>
            <c:bubble3D val="0"/>
            <c:explosion val="3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EA4-4A3B-B835-48AE39DA73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AEA4-4A3B-B835-48AE39DA73DF}"/>
              </c:ext>
            </c:extLst>
          </c:dPt>
          <c:dPt>
            <c:idx val="3"/>
            <c:bubble3D val="0"/>
            <c:explosion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EA4-4A3B-B835-48AE39DA73DF}"/>
              </c:ext>
            </c:extLst>
          </c:dPt>
          <c:dPt>
            <c:idx val="4"/>
            <c:bubble3D val="0"/>
            <c:explosion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EA4-4A3B-B835-48AE39DA73DF}"/>
              </c:ext>
            </c:extLst>
          </c:dPt>
          <c:dPt>
            <c:idx val="5"/>
            <c:bubble3D val="0"/>
            <c:explosion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AEA4-4A3B-B835-48AE39DA73DF}"/>
              </c:ext>
            </c:extLst>
          </c:dPt>
          <c:dPt>
            <c:idx val="6"/>
            <c:bubble3D val="0"/>
            <c:explosion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AEA4-4A3B-B835-48AE39DA73DF}"/>
              </c:ext>
            </c:extLst>
          </c:dPt>
          <c:dPt>
            <c:idx val="7"/>
            <c:bubble3D val="0"/>
            <c:explosion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EA4-4A3B-B835-48AE39DA73DF}"/>
              </c:ext>
            </c:extLst>
          </c:dPt>
          <c:dPt>
            <c:idx val="8"/>
            <c:bubble3D val="0"/>
            <c:explosion val="24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AEA4-4A3B-B835-48AE39DA73DF}"/>
              </c:ext>
            </c:extLst>
          </c:dPt>
          <c:dPt>
            <c:idx val="9"/>
            <c:bubble3D val="0"/>
            <c:explosion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EA4-4A3B-B835-48AE39DA73DF}"/>
              </c:ext>
            </c:extLst>
          </c:dPt>
          <c:cat>
            <c:strRef>
              <c:f>Sheet1!$E$5:$E$14</c:f>
              <c:strCache>
                <c:ptCount val="10"/>
                <c:pt idx="0">
                  <c:v>APPLE</c:v>
                </c:pt>
                <c:pt idx="1">
                  <c:v>SAMSUNG</c:v>
                </c:pt>
                <c:pt idx="2">
                  <c:v>ONEPLUS</c:v>
                </c:pt>
                <c:pt idx="3">
                  <c:v>OPPO</c:v>
                </c:pt>
                <c:pt idx="4">
                  <c:v>VIVO</c:v>
                </c:pt>
                <c:pt idx="5">
                  <c:v>REDMI</c:v>
                </c:pt>
                <c:pt idx="6">
                  <c:v>REALME </c:v>
                </c:pt>
                <c:pt idx="7">
                  <c:v>ONEPLUS</c:v>
                </c:pt>
                <c:pt idx="8">
                  <c:v>PIXEL</c:v>
                </c:pt>
                <c:pt idx="9">
                  <c:v>IQOO</c:v>
                </c:pt>
              </c:strCache>
            </c:strRef>
          </c:cat>
          <c:val>
            <c:numRef>
              <c:f>Sheet1!$G$5:$G$14</c:f>
              <c:numCache>
                <c:formatCode>General</c:formatCode>
                <c:ptCount val="10"/>
                <c:pt idx="0">
                  <c:v>90000</c:v>
                </c:pt>
                <c:pt idx="1">
                  <c:v>120000</c:v>
                </c:pt>
                <c:pt idx="2">
                  <c:v>5000</c:v>
                </c:pt>
                <c:pt idx="3">
                  <c:v>40000</c:v>
                </c:pt>
                <c:pt idx="4">
                  <c:v>35000</c:v>
                </c:pt>
                <c:pt idx="5">
                  <c:v>3000</c:v>
                </c:pt>
                <c:pt idx="6">
                  <c:v>30000</c:v>
                </c:pt>
                <c:pt idx="7">
                  <c:v>45000</c:v>
                </c:pt>
                <c:pt idx="8">
                  <c:v>52000</c:v>
                </c:pt>
                <c:pt idx="9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4-4A3B-B835-48AE39DA7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905000">
        <a:schemeClr val="accent1">
          <a:alpha val="0"/>
        </a:schemeClr>
      </a:glow>
      <a:outerShdw blurRad="266700" dist="114300" dir="2520000" sx="101000" sy="101000" algn="ctr" rotWithShape="0">
        <a:srgbClr val="000000"/>
      </a:outerShdw>
      <a:softEdge rad="12700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Sheet1!$O$5:$X$6</c15:sqref>
                  </c15:fullRef>
                  <c15:levelRef>
                    <c15:sqref>Sheet1!$O$5:$X$5</c15:sqref>
                  </c15:levelRef>
                </c:ext>
              </c:extLst>
              <c:f>Sheet1!$O$5:$X$5</c:f>
              <c:strCache>
                <c:ptCount val="10"/>
                <c:pt idx="0">
                  <c:v>APPLE</c:v>
                </c:pt>
                <c:pt idx="1">
                  <c:v>SAMSUNG</c:v>
                </c:pt>
                <c:pt idx="2">
                  <c:v>ONEPLUS</c:v>
                </c:pt>
                <c:pt idx="3">
                  <c:v>OPPO</c:v>
                </c:pt>
                <c:pt idx="4">
                  <c:v>VIVO</c:v>
                </c:pt>
                <c:pt idx="5">
                  <c:v>REDMI</c:v>
                </c:pt>
                <c:pt idx="6">
                  <c:v>REALME </c:v>
                </c:pt>
                <c:pt idx="7">
                  <c:v>ONEPLUS</c:v>
                </c:pt>
                <c:pt idx="8">
                  <c:v>PIXEL</c:v>
                </c:pt>
                <c:pt idx="9">
                  <c:v>IQOO</c:v>
                </c:pt>
              </c:strCache>
            </c:strRef>
          </c:cat>
          <c:val>
            <c:numRef>
              <c:f>Sheet1!$O$7:$X$7</c:f>
              <c:numCache>
                <c:formatCode>General</c:formatCode>
                <c:ptCount val="10"/>
                <c:pt idx="0">
                  <c:v>90000</c:v>
                </c:pt>
                <c:pt idx="1">
                  <c:v>120000</c:v>
                </c:pt>
                <c:pt idx="2">
                  <c:v>5000</c:v>
                </c:pt>
                <c:pt idx="3">
                  <c:v>40000</c:v>
                </c:pt>
                <c:pt idx="4">
                  <c:v>35000</c:v>
                </c:pt>
                <c:pt idx="5">
                  <c:v>3000</c:v>
                </c:pt>
                <c:pt idx="6">
                  <c:v>30000</c:v>
                </c:pt>
                <c:pt idx="7">
                  <c:v>45000</c:v>
                </c:pt>
                <c:pt idx="8">
                  <c:v>52000</c:v>
                </c:pt>
                <c:pt idx="9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8-4CFC-9850-B3CCE2339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1394143"/>
        <c:axId val="561412863"/>
      </c:barChart>
      <c:catAx>
        <c:axId val="561394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12863"/>
        <c:crosses val="autoZero"/>
        <c:auto val="1"/>
        <c:lblAlgn val="ctr"/>
        <c:lblOffset val="100"/>
        <c:noMultiLvlLbl val="0"/>
      </c:catAx>
      <c:valAx>
        <c:axId val="56141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39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10989</xdr:colOff>
      <xdr:row>13</xdr:row>
      <xdr:rowOff>5862</xdr:rowOff>
    </xdr:from>
    <xdr:to>
      <xdr:col>23</xdr:col>
      <xdr:colOff>278423</xdr:colOff>
      <xdr:row>23</xdr:row>
      <xdr:rowOff>102577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572457-0D59-E4BA-AA21-FD7B73A94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567837</xdr:colOff>
      <xdr:row>14</xdr:row>
      <xdr:rowOff>27841</xdr:rowOff>
    </xdr:from>
    <xdr:to>
      <xdr:col>7</xdr:col>
      <xdr:colOff>564173</xdr:colOff>
      <xdr:row>27</xdr:row>
      <xdr:rowOff>87922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6EC5E0-4CE7-AF06-A6B9-1FA48E580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340700</xdr:colOff>
      <xdr:row>21</xdr:row>
      <xdr:rowOff>86458</xdr:rowOff>
    </xdr:from>
    <xdr:to>
      <xdr:col>18</xdr:col>
      <xdr:colOff>531200</xdr:colOff>
      <xdr:row>35</xdr:row>
      <xdr:rowOff>162658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A95C0B-509E-08BB-915C-28A379926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5.438657523147" createdVersion="8" refreshedVersion="8" minRefreshableVersion="3" recordCount="3" xr:uid="{738015AB-3C1C-4374-AA92-677ECFE29256}">
  <cacheSource type="worksheet">
    <worksheetSource name="Table1"/>
  </cacheSource>
  <cacheFields count="3">
    <cacheField name="FRUITS" numFmtId="0">
      <sharedItems/>
    </cacheField>
    <cacheField name="VALUE" numFmtId="0">
      <sharedItems containsSemiMixedTypes="0" containsString="0" containsNumber="1" containsInteger="1" minValue="10" maxValue="20"/>
    </cacheField>
    <cacheField name="Column1" numFmtId="0">
      <sharedItems containsString="0" containsBlank="1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MANGO"/>
    <n v="20"/>
    <n v="3"/>
  </r>
  <r>
    <s v="PAPAYA"/>
    <n v="10"/>
    <n v="0"/>
  </r>
  <r>
    <s v="JACKFRUIT"/>
    <n v="1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D186A-DC03-40FE-B0C5-6514289DDA14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5389E-0D12-4941-99B1-B27D1399B653}" name="Table1" displayName="Table1" ref="M18:N21" totalsRowShown="0">
  <autoFilter ref="M18:N21" xr:uid="{4E65389E-0D12-4941-99B1-B27D1399B653}"/>
  <tableColumns count="2">
    <tableColumn id="1" xr3:uid="{36316727-10DD-4D1C-96BC-EF2EBEB3C142}" name="FRUITS"/>
    <tableColumn id="5" xr3:uid="{A96438AE-FD36-46B7-BE93-3C1964F6D7EB}" name="VALU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EDC37B-4CBE-4D1A-8252-4AEA0D0B058C}" name="Table2" displayName="Table2" ref="D4:G14" totalsRowShown="0" headerRowDxfId="3">
  <autoFilter ref="D4:G14" xr:uid="{A6EDC37B-4CBE-4D1A-8252-4AEA0D0B058C}"/>
  <tableColumns count="4">
    <tableColumn id="1" xr3:uid="{728F424D-7EA8-4BB8-99BF-2199A8F7856A}" name="S NO"/>
    <tableColumn id="2" xr3:uid="{DFE96BCB-E02C-40CC-BFFB-29E5A474E042}" name="DESCRIPTION"/>
    <tableColumn id="3" xr3:uid="{E92B1E44-1CED-4D83-85B4-696D93D0626B}" name="TYPE "/>
    <tableColumn id="4" xr3:uid="{1F806E50-B11B-47E2-BA0D-5DD940244377}" name="VALUE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79D8E1-D45B-429F-B72A-74E328B3393B}" name="Table3" displayName="Table3" ref="N4:X7" totalsRowShown="0">
  <autoFilter ref="N4:X7" xr:uid="{2679D8E1-D45B-429F-B72A-74E328B3393B}"/>
  <tableColumns count="11">
    <tableColumn id="1" xr3:uid="{91585BE3-470A-4B2B-B337-24D477E9E695}" name="S NO" dataDxfId="2"/>
    <tableColumn id="2" xr3:uid="{EFCD0B5C-B681-40CB-B1C7-AB8E3385C86B}" name="1"/>
    <tableColumn id="3" xr3:uid="{B3EDC4B3-809C-4CD4-9BA6-3BC25C1AB50E}" name="2"/>
    <tableColumn id="4" xr3:uid="{AAB5B043-C097-4931-98B0-E4DA47CD7D36}" name="3"/>
    <tableColumn id="5" xr3:uid="{E37E0E1F-0D41-493A-A710-0FBF6CA30EDB}" name="4"/>
    <tableColumn id="6" xr3:uid="{8DB1E055-5E41-49CD-A717-D8EFE17BD66A}" name="5"/>
    <tableColumn id="7" xr3:uid="{44CD3002-323B-4853-99A5-A3588B3CEEC2}" name="6"/>
    <tableColumn id="8" xr3:uid="{2FF63D06-5A36-41FE-B8ED-F28C8D29DFAD}" name="7"/>
    <tableColumn id="9" xr3:uid="{9D0B0C41-A7B9-4D3E-9186-E5374221D3C7}" name="8"/>
    <tableColumn id="10" xr3:uid="{4629199A-A80A-422A-820F-A15E7466E89F}" name="9"/>
    <tableColumn id="11" xr3:uid="{BE305271-0E12-4AFA-95E2-7F150C2ADEE7}" name="1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A9B8-6A21-4707-85DD-AC55C2409E60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2"/>
      <c r="B3" s="3"/>
      <c r="C3" s="4"/>
    </row>
    <row r="4" spans="1:3" x14ac:dyDescent="0.25">
      <c r="A4" s="5"/>
      <c r="B4" s="6"/>
      <c r="C4" s="7"/>
    </row>
    <row r="5" spans="1:3" x14ac:dyDescent="0.25">
      <c r="A5" s="5"/>
      <c r="B5" s="6"/>
      <c r="C5" s="7"/>
    </row>
    <row r="6" spans="1:3" x14ac:dyDescent="0.25">
      <c r="A6" s="5"/>
      <c r="B6" s="6"/>
      <c r="C6" s="7"/>
    </row>
    <row r="7" spans="1:3" x14ac:dyDescent="0.25">
      <c r="A7" s="5"/>
      <c r="B7" s="6"/>
      <c r="C7" s="7"/>
    </row>
    <row r="8" spans="1:3" x14ac:dyDescent="0.25">
      <c r="A8" s="5"/>
      <c r="B8" s="6"/>
      <c r="C8" s="7"/>
    </row>
    <row r="9" spans="1:3" x14ac:dyDescent="0.25">
      <c r="A9" s="5"/>
      <c r="B9" s="6"/>
      <c r="C9" s="7"/>
    </row>
    <row r="10" spans="1:3" x14ac:dyDescent="0.25">
      <c r="A10" s="5"/>
      <c r="B10" s="6"/>
      <c r="C10" s="7"/>
    </row>
    <row r="11" spans="1:3" x14ac:dyDescent="0.25">
      <c r="A11" s="5"/>
      <c r="B11" s="6"/>
      <c r="C11" s="7"/>
    </row>
    <row r="12" spans="1:3" x14ac:dyDescent="0.25">
      <c r="A12" s="5"/>
      <c r="B12" s="6"/>
      <c r="C12" s="7"/>
    </row>
    <row r="13" spans="1:3" x14ac:dyDescent="0.25">
      <c r="A13" s="5"/>
      <c r="B13" s="6"/>
      <c r="C13" s="7"/>
    </row>
    <row r="14" spans="1:3" x14ac:dyDescent="0.25">
      <c r="A14" s="5"/>
      <c r="B14" s="6"/>
      <c r="C14" s="7"/>
    </row>
    <row r="15" spans="1:3" x14ac:dyDescent="0.25">
      <c r="A15" s="5"/>
      <c r="B15" s="6"/>
      <c r="C15" s="7"/>
    </row>
    <row r="16" spans="1:3" x14ac:dyDescent="0.25">
      <c r="A16" s="5"/>
      <c r="B16" s="6"/>
      <c r="C16" s="7"/>
    </row>
    <row r="17" spans="1:3" x14ac:dyDescent="0.25">
      <c r="A17" s="5"/>
      <c r="B17" s="6"/>
      <c r="C17" s="7"/>
    </row>
    <row r="18" spans="1:3" x14ac:dyDescent="0.25">
      <c r="A18" s="5"/>
      <c r="B18" s="6"/>
      <c r="C18" s="7"/>
    </row>
    <row r="19" spans="1:3" x14ac:dyDescent="0.25">
      <c r="A19" s="5"/>
      <c r="B19" s="6"/>
      <c r="C19" s="7"/>
    </row>
    <row r="20" spans="1:3" x14ac:dyDescent="0.25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489C-7210-476C-BCD7-4AAB6129D173}">
  <dimension ref="D4:X21"/>
  <sheetViews>
    <sheetView tabSelected="1" topLeftCell="E1" zoomScale="130" zoomScaleNormal="130" workbookViewId="0">
      <selection activeCell="M10" sqref="M10"/>
    </sheetView>
  </sheetViews>
  <sheetFormatPr defaultRowHeight="15" x14ac:dyDescent="0.25"/>
  <cols>
    <col min="5" max="5" width="14" customWidth="1"/>
    <col min="6" max="6" width="11" customWidth="1"/>
    <col min="9" max="9" width="10.42578125" customWidth="1"/>
    <col min="13" max="13" width="10.140625" customWidth="1"/>
    <col min="15" max="15" width="10" customWidth="1"/>
  </cols>
  <sheetData>
    <row r="4" spans="4:24" x14ac:dyDescent="0.25">
      <c r="D4" s="1" t="s">
        <v>3</v>
      </c>
      <c r="E4" s="1" t="s">
        <v>0</v>
      </c>
      <c r="F4" s="1" t="s">
        <v>1</v>
      </c>
      <c r="G4" s="1" t="s">
        <v>2</v>
      </c>
      <c r="L4" s="1" t="s">
        <v>16</v>
      </c>
      <c r="N4" s="1" t="s">
        <v>3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35</v>
      </c>
      <c r="U4" t="s">
        <v>36</v>
      </c>
      <c r="V4" t="s">
        <v>37</v>
      </c>
      <c r="W4" t="s">
        <v>38</v>
      </c>
      <c r="X4" t="s">
        <v>39</v>
      </c>
    </row>
    <row r="5" spans="4:24" x14ac:dyDescent="0.25">
      <c r="D5">
        <v>1</v>
      </c>
      <c r="E5" t="s">
        <v>4</v>
      </c>
      <c r="F5" t="s">
        <v>13</v>
      </c>
      <c r="G5">
        <v>90000</v>
      </c>
      <c r="L5" t="str">
        <f>VLOOKUP(E12,E5:G14,1,FALSE)</f>
        <v>ONEPLUS</v>
      </c>
      <c r="N5" s="1" t="s">
        <v>0</v>
      </c>
      <c r="O5" t="s">
        <v>4</v>
      </c>
      <c r="P5" t="s">
        <v>5</v>
      </c>
      <c r="Q5" t="s">
        <v>6</v>
      </c>
      <c r="R5" t="s">
        <v>7</v>
      </c>
      <c r="S5" t="s">
        <v>8</v>
      </c>
      <c r="T5" t="s">
        <v>9</v>
      </c>
      <c r="U5" t="s">
        <v>10</v>
      </c>
      <c r="V5" t="s">
        <v>6</v>
      </c>
      <c r="W5" t="s">
        <v>11</v>
      </c>
      <c r="X5" t="s">
        <v>12</v>
      </c>
    </row>
    <row r="6" spans="4:24" x14ac:dyDescent="0.25">
      <c r="D6">
        <v>2</v>
      </c>
      <c r="E6" t="s">
        <v>5</v>
      </c>
      <c r="F6" t="s">
        <v>15</v>
      </c>
      <c r="G6">
        <v>120000</v>
      </c>
      <c r="L6" t="str">
        <f>VLOOKUP(E13,E5:G14,1,FALSE)</f>
        <v>PIXEL</v>
      </c>
      <c r="N6" s="1" t="s">
        <v>1</v>
      </c>
      <c r="O6" t="s">
        <v>13</v>
      </c>
      <c r="P6" t="s">
        <v>15</v>
      </c>
      <c r="Q6" t="s">
        <v>14</v>
      </c>
      <c r="R6" t="s">
        <v>13</v>
      </c>
      <c r="S6" t="s">
        <v>13</v>
      </c>
      <c r="T6" t="s">
        <v>14</v>
      </c>
      <c r="U6" t="s">
        <v>13</v>
      </c>
      <c r="V6" t="s">
        <v>13</v>
      </c>
      <c r="W6" t="s">
        <v>13</v>
      </c>
      <c r="X6" t="s">
        <v>13</v>
      </c>
    </row>
    <row r="7" spans="4:24" x14ac:dyDescent="0.25">
      <c r="D7">
        <v>3</v>
      </c>
      <c r="E7" t="s">
        <v>6</v>
      </c>
      <c r="F7" t="s">
        <v>14</v>
      </c>
      <c r="G7">
        <v>5000</v>
      </c>
      <c r="N7" s="1" t="s">
        <v>2</v>
      </c>
      <c r="O7">
        <v>90000</v>
      </c>
      <c r="P7">
        <v>120000</v>
      </c>
      <c r="Q7">
        <v>5000</v>
      </c>
      <c r="R7">
        <v>40000</v>
      </c>
      <c r="S7">
        <v>35000</v>
      </c>
      <c r="T7">
        <v>3000</v>
      </c>
      <c r="U7">
        <v>30000</v>
      </c>
      <c r="V7">
        <v>45000</v>
      </c>
      <c r="W7">
        <v>52000</v>
      </c>
      <c r="X7">
        <v>50000</v>
      </c>
    </row>
    <row r="8" spans="4:24" x14ac:dyDescent="0.25">
      <c r="D8">
        <v>4</v>
      </c>
      <c r="E8" t="s">
        <v>7</v>
      </c>
      <c r="F8" t="s">
        <v>13</v>
      </c>
      <c r="G8">
        <v>40000</v>
      </c>
      <c r="I8" t="s">
        <v>5</v>
      </c>
      <c r="J8">
        <f>VLOOKUP(E6,E5:G14,3,TRUE)</f>
        <v>120000</v>
      </c>
    </row>
    <row r="9" spans="4:24" x14ac:dyDescent="0.25">
      <c r="D9">
        <v>5</v>
      </c>
      <c r="E9" t="s">
        <v>8</v>
      </c>
      <c r="F9" t="s">
        <v>13</v>
      </c>
      <c r="G9">
        <v>35000</v>
      </c>
      <c r="I9" t="s">
        <v>12</v>
      </c>
      <c r="J9">
        <f>VLOOKUP(E14,E5:G14,3,FALSE)</f>
        <v>50000</v>
      </c>
    </row>
    <row r="10" spans="4:24" x14ac:dyDescent="0.25">
      <c r="D10">
        <v>6</v>
      </c>
      <c r="E10" t="s">
        <v>9</v>
      </c>
      <c r="F10" t="s">
        <v>14</v>
      </c>
      <c r="G10">
        <v>3000</v>
      </c>
      <c r="O10" s="1" t="s">
        <v>17</v>
      </c>
      <c r="T10" t="s">
        <v>19</v>
      </c>
    </row>
    <row r="11" spans="4:24" x14ac:dyDescent="0.25">
      <c r="D11">
        <v>7</v>
      </c>
      <c r="E11" t="s">
        <v>10</v>
      </c>
      <c r="F11" t="s">
        <v>13</v>
      </c>
      <c r="G11">
        <v>30000</v>
      </c>
      <c r="N11" t="s">
        <v>8</v>
      </c>
      <c r="O11">
        <f>HLOOKUP(S5,O5:X7,3,TRUE)</f>
        <v>35000</v>
      </c>
      <c r="T11">
        <f>INDEX(O5:X7,3,9)</f>
        <v>52000</v>
      </c>
    </row>
    <row r="12" spans="4:24" x14ac:dyDescent="0.25">
      <c r="D12">
        <v>8</v>
      </c>
      <c r="E12" t="s">
        <v>6</v>
      </c>
      <c r="F12" t="s">
        <v>13</v>
      </c>
      <c r="G12">
        <v>45000</v>
      </c>
      <c r="N12" t="s">
        <v>18</v>
      </c>
      <c r="O12">
        <f>HLOOKUP(U5,O5:X7,3,FALSE)</f>
        <v>30000</v>
      </c>
      <c r="R12">
        <f>_xlfn.XLOOKUP(E6,Table2[DESCRIPTION],Table2[VALUE],1)</f>
        <v>120000</v>
      </c>
    </row>
    <row r="13" spans="4:24" x14ac:dyDescent="0.25">
      <c r="D13">
        <v>9</v>
      </c>
      <c r="E13" t="s">
        <v>11</v>
      </c>
      <c r="F13" t="s">
        <v>13</v>
      </c>
      <c r="G13">
        <v>52000</v>
      </c>
      <c r="N13" t="s">
        <v>4</v>
      </c>
      <c r="O13">
        <f>HLOOKUP(T5,O5:X7,3,TRUE)</f>
        <v>90000</v>
      </c>
      <c r="R13">
        <f>_xlfn.XLOOKUP(E10,Table2[DESCRIPTION],Table2[VALUE],"NOT FOUND")</f>
        <v>3000</v>
      </c>
    </row>
    <row r="14" spans="4:24" x14ac:dyDescent="0.25">
      <c r="D14">
        <v>10</v>
      </c>
      <c r="E14" t="s">
        <v>12</v>
      </c>
      <c r="F14" t="s">
        <v>13</v>
      </c>
      <c r="G14">
        <v>50000</v>
      </c>
    </row>
    <row r="16" spans="4:24" x14ac:dyDescent="0.25">
      <c r="I16" s="1" t="s">
        <v>19</v>
      </c>
      <c r="R16" s="1" t="s">
        <v>20</v>
      </c>
    </row>
    <row r="17" spans="9:18" x14ac:dyDescent="0.25">
      <c r="I17" t="str">
        <f>INDEX(E5:G14,3,2)</f>
        <v>EARPHONES</v>
      </c>
      <c r="R17">
        <f>_xlfn.XLOOKUP(E14,Table2[DESCRIPTION],Table2[VALUE])</f>
        <v>50000</v>
      </c>
    </row>
    <row r="18" spans="9:18" x14ac:dyDescent="0.25">
      <c r="I18">
        <f>INDEX(E5:G14,6,3)</f>
        <v>3000</v>
      </c>
      <c r="M18" s="1" t="s">
        <v>21</v>
      </c>
      <c r="N18" s="1" t="s">
        <v>2</v>
      </c>
      <c r="O18" s="1" t="s">
        <v>40</v>
      </c>
      <c r="R18">
        <f>_xlfn.XLOOKUP(E13,Table2[DESCRIPTION],Table2[VALUE])</f>
        <v>52000</v>
      </c>
    </row>
    <row r="19" spans="9:18" x14ac:dyDescent="0.25">
      <c r="M19" t="s">
        <v>22</v>
      </c>
      <c r="N19">
        <v>20</v>
      </c>
      <c r="O19">
        <f>MATCH(M21,Table1[FRUITS],0)</f>
        <v>3</v>
      </c>
      <c r="P19">
        <f>MATCH(M20,M19:M21,1)</f>
        <v>2</v>
      </c>
      <c r="R19">
        <f>_xlfn.XLOOKUP(Q5,O5:X5,O7:X7)</f>
        <v>5000</v>
      </c>
    </row>
    <row r="20" spans="9:18" x14ac:dyDescent="0.25">
      <c r="M20" t="s">
        <v>23</v>
      </c>
      <c r="N20">
        <v>10</v>
      </c>
      <c r="O20">
        <f>MATCH(M19,Table1[FRUITS],1)</f>
        <v>1</v>
      </c>
    </row>
    <row r="21" spans="9:18" x14ac:dyDescent="0.25">
      <c r="M21" t="s">
        <v>24</v>
      </c>
      <c r="N21">
        <v>15</v>
      </c>
    </row>
  </sheetData>
  <phoneticPr fontId="2" type="noConversion"/>
  <conditionalFormatting sqref="L4:L6">
    <cfRule type="containsText" dxfId="1" priority="2" operator="containsText" text="VLOOKUP">
      <formula>NOT(ISERROR(SEARCH("VLOOKUP",L4)))</formula>
    </cfRule>
  </conditionalFormatting>
  <conditionalFormatting sqref="I17:I18">
    <cfRule type="containsText" dxfId="0" priority="1" operator="containsText" text="EARPHONES">
      <formula>NOT(ISERROR(SEARCH("EARPHONES",I17)))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2026-06-02T04:28:10Z</dcterms:created>
  <dcterms:modified xsi:type="dcterms:W3CDTF">2026-06-02T05:38:00Z</dcterms:modified>
</cp:coreProperties>
</file>
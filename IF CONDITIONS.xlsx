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AF95BB20-96AC-441A-97FD-68317BE2AE89}" xr6:coauthVersionLast="47" xr6:coauthVersionMax="47" xr10:uidLastSave="{00000000-0000-0000-0000-000000000000}"/>
  <bookViews>
    <workbookView xWindow="-120" yWindow="-120" windowWidth="29040" windowHeight="15720" xr2:uid="{81C4A6A9-98ED-4243-87FC-4ED2BD108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J20" i="1"/>
  <c r="J21" i="1"/>
  <c r="J22" i="1"/>
  <c r="J23" i="1"/>
  <c r="J18" i="1"/>
  <c r="I19" i="1"/>
  <c r="I20" i="1"/>
  <c r="I21" i="1"/>
  <c r="I22" i="1"/>
  <c r="I23" i="1"/>
  <c r="I18" i="1"/>
  <c r="H19" i="1"/>
  <c r="H20" i="1"/>
  <c r="H21" i="1"/>
  <c r="H22" i="1"/>
  <c r="H23" i="1"/>
  <c r="H18" i="1"/>
  <c r="G19" i="1"/>
  <c r="G20" i="1"/>
  <c r="G21" i="1"/>
  <c r="G22" i="1"/>
  <c r="G23" i="1"/>
  <c r="G18" i="1"/>
  <c r="F19" i="1"/>
  <c r="F20" i="1"/>
  <c r="F21" i="1"/>
  <c r="F22" i="1"/>
  <c r="F23" i="1"/>
  <c r="F18" i="1"/>
  <c r="K6" i="1"/>
  <c r="K7" i="1"/>
  <c r="K8" i="1"/>
  <c r="K9" i="1"/>
  <c r="K10" i="1"/>
  <c r="K11" i="1"/>
  <c r="K12" i="1"/>
  <c r="K5" i="1"/>
  <c r="G14" i="1" a="1"/>
  <c r="G14" i="1" s="1"/>
  <c r="J6" i="1" a="1"/>
  <c r="J6" i="1"/>
  <c r="J7" i="1" a="1"/>
  <c r="J7" i="1" s="1"/>
  <c r="J8" i="1" a="1"/>
  <c r="J8" i="1" s="1"/>
  <c r="J9" i="1" a="1"/>
  <c r="J9" i="1"/>
  <c r="J10" i="1" a="1"/>
  <c r="J10" i="1"/>
  <c r="J11" i="1" a="1"/>
  <c r="J11" i="1"/>
  <c r="J12" i="1" a="1"/>
  <c r="J12" i="1"/>
  <c r="J5" i="1" a="1"/>
  <c r="J5" i="1" s="1"/>
  <c r="G5" i="1" a="1"/>
  <c r="G5" i="1" s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D5" i="1"/>
  <c r="D6" i="1"/>
  <c r="D7" i="1"/>
  <c r="D8" i="1"/>
  <c r="D9" i="1"/>
  <c r="D10" i="1"/>
  <c r="D11" i="1"/>
  <c r="D12" i="1"/>
  <c r="D13" i="1"/>
  <c r="D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<sst xmlns="http://schemas.openxmlformats.org/spreadsheetml/2006/main" count="27" uniqueCount="26">
  <si>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LOGICAL OPERATORS</t>
  </si>
  <si>
    <t>IF CONDITIONS</t>
  </si>
  <si>
    <t>NAME</t>
  </si>
  <si>
    <t>MARKS</t>
  </si>
  <si>
    <t>RESULT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</si>
  <si>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</si>
  <si>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</si>
  <si>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</si>
  <si>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</si>
  <si>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</si>
  <si>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</si>
  <si>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</si>
  <si>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</si>
  <si>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</si>
  <si>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</si>
  <si>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AGE</t>
  </si>
  <si>
    <t>AGE_BINS</t>
  </si>
  <si>
    <t>AGEBINS</t>
  </si>
  <si>
    <t>BINS</t>
  </si>
  <si>
    <t>MATHS</t>
  </si>
  <si>
    <t>BOTANY</t>
  </si>
  <si>
    <t>ANALYSIS(OR)</t>
  </si>
  <si>
    <t>AND</t>
  </si>
  <si>
    <t>RESULT(OR)</t>
  </si>
  <si>
    <t>RESULT(AND)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</si>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</sst>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D314D-2E1F-4865-8239-F138146C67D9}" name="Table1" displayName="Table1" ref="B4:D14" totalsRowShown="0">
  <autoFilter ref="B4:D14" xr:uid="{54CD314D-2E1F-4865-8239-F138146C67D9}"/>
  <tableColumns count="3">
    <tableColumn id="1" xr3:uid="{4D8F3B28-3792-4029-8AAD-3B8A1077A9EC}" name="NAME"/>
    <tableColumn id="2" xr3:uid="{8E24F6E7-909C-428C-A600-CEE938823D78}" name="MARKS"/>
    <tableColumn id="3" xr3:uid="{7B143045-4119-4309-B83D-145000CEAB99}" name="RESULT" dataDxfId="1">
      <calculatedColumnFormula>IF(Table1[[#This Row],[MARKS]]&lt;35,"FAIL","PASS")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692DD9-7953-4060-9F46-A47C6362A7FC}" name="Table2" displayName="Table2" ref="F4:G11" totalsRowShown="0">
  <autoFilter ref="F4:G11" xr:uid="{A1692DD9-7953-4060-9F46-A47C6362A7FC}"/>
  <tableColumns count="2">
    <tableColumn id="1" xr3:uid="{48DEC8FC-601D-471C-AC3D-B8F8A172916E}" name="AGE"/>
    <tableColumn id="2" xr3:uid="{2DB44499-2580-40B9-A84A-9B8B732A360D}" name="AGE_BINS" dataDxfId="0">
      <calculatedColumnFormula array="1">_xlfn.IFS(Table2[[#This Row],[AGE]]&lt;30,"ADULT",Table2[[#This Row],[AGE]]&gt;30,"SENIOR",Table2[[#This Row],[AGE]]=30,"EQUALS 30")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1C58-DD3F-424E-8FB4-14D91ED466FD}">
  <dimension ref="B1:K23"/>
  <sheetViews>
    <sheetView tabSelected="1" topLeftCell="A4" zoomScale="160" zoomScaleNormal="160" workbookViewId="0">
      <selection activeCell="J18" sqref="J18:J23"/>
    </sheetView>
  </sheetViews>
  <sheetFormatPr defaultRowHeight="15" x14ac:dyDescent="0.25"/>
  <cols>
    <col min="2" max="2" width="15" customWidth="1"/>
    <col min="3" max="4" width="9.42578125" customWidth="1"/>
    <col min="6" max="6" width="15.7109375" customWidth="1"/>
    <col min="7" max="7" width="14.140625" customWidth="1"/>
    <col min="8" max="8" width="10.28515625" customWidth="1"/>
    <col min="9" max="9" width="13.5703125" customWidth="1"/>
    <col min="10" max="10" width="12.5703125" customWidth="1"/>
  </cols>
  <sheetData>
    <row r="1" spans="2:11" x14ac:dyDescent="0.25">
      <c r="G1" s="1" t="s">
        <v>0</v>
      </c>
      <c r="H1" s="1"/>
      <c r="I1" s="1"/>
      <c r="J1" s="1"/>
    </row>
    <row r="3" spans="2:11" x14ac:dyDescent="0.25">
      <c r="B3" s="2" t="s">
        <v>1</v>
      </c>
    </row>
    <row r="4" spans="2:11" x14ac:dyDescent="0.25">
      <c r="B4" t="s">
        <v>2</v>
      </c>
      <c r="C4" t="s">
        <v>3</v>
      </c>
      <c r="D4" t="s">
        <v>4</v>
      </c>
      <c r="F4" t="s">
        <v>15</v>
      </c>
      <c r="G4" t="s">
        <v>16</v>
      </c>
      <c r="I4" t="s">
        <v>15</v>
      </c>
      <c r="J4" t="s">
        <v>17</v>
      </c>
      <c r="K4" t="s">
        <v>18</v>
      </c>
    </row>
    <row r="5" spans="2:11" x14ac:dyDescent="0.25">
      <c r="B5" t="s">
        <v>5</v>
      </c>
      <c r="C5">
        <v>90</v>
      </c>
      <c r="D5" t="str">
        <f>IF(Table1[[#This Row],[MARKS]]&lt;35,"FAIL","PASS")</f>
        <v>PASS</v>
      </c>
      <c r="F5">
        <v>30</v>
      </c>
      <c r="G5" t="str" cm="1">
        <f t="array" ref="G5">_xlfn.IFS(Table2[[#This Row],[AGE]]&lt;30,"ADULT",Table2[[#This Row],[AGE]]&gt;30,"SENIOR",Table2[[#This Row],[AGE]]=30,"EQUALS 30")</f>
        <v>EQUALS 30</v>
      </c>
      <c r="I5">
        <v>70</v>
      </c>
      <c r="J5" t="str" cm="1">
        <f t="array" ref="J5">_xlfn.IFS(I5&gt;80,"ABOVE 80",I5&gt;70,"ABOVE 70",I5&gt;60,"ABOVE 60",I5&lt;=60,"UNDER 60")</f>
        <v>ABOVE 60</v>
      </c>
      <c r="K5" t="str">
        <f>IF(I5&lt;30,"UNDER 30",IF(I5&lt;40,"UNDER 40",IF(I5&lt;50,"UNDER 50","UNDER 80")))</f>
        <v>UNDER 80</v>
      </c>
    </row>
    <row r="6" spans="2:11" x14ac:dyDescent="0.25">
      <c r="B6" t="s">
        <v>6</v>
      </c>
      <c r="C6">
        <v>96</v>
      </c>
      <c r="D6" t="str">
        <f>IF(Table1[[#This Row],[MARKS]]&lt;35,"FAIL","PASS")</f>
        <v>PASS</v>
      </c>
      <c r="F6">
        <v>40</v>
      </c>
      <c r="G6" t="str" cm="1">
        <f t="array" ref="G6">_xlfn.IFS(Table2[[#This Row],[AGE]]&lt;30,"ADULT",Table2[[#This Row],[AGE]]&gt;30,"SENIOR",Table2[[#This Row],[AGE]]=30,"EQUALS 30")</f>
        <v>SENIOR</v>
      </c>
      <c r="I6">
        <v>80</v>
      </c>
      <c r="J6" t="str" cm="1">
        <f t="array" ref="J6">_xlfn.IFS(I6&gt;80,"ABOVE 80",I6&gt;70,"ABOVE 70",I6&gt;60,"ABOVE 60",I6&lt;=60,"UNDER 60")</f>
        <v>ABOVE 70</v>
      </c>
      <c r="K6" t="str">
        <f t="shared" ref="K6:K12" si="0">IF(I6&lt;30,"UNDER 30",IF(I6&lt;40,"UNDER 40",IF(I6&lt;50,"UNDER 50","UNDER 80")))</f>
        <v>UNDER 80</v>
      </c>
    </row>
    <row r="7" spans="2:11" x14ac:dyDescent="0.25">
      <c r="B7" t="s">
        <v>7</v>
      </c>
      <c r="C7">
        <v>89</v>
      </c>
      <c r="D7" t="str">
        <f>IF(Table1[[#This Row],[MARKS]]&lt;35,"FAIL","PASS")</f>
        <v>PASS</v>
      </c>
      <c r="F7">
        <v>50</v>
      </c>
      <c r="G7" t="str" cm="1">
        <f t="array" ref="G7">_xlfn.IFS(Table2[[#This Row],[AGE]]&lt;30,"ADULT",Table2[[#This Row],[AGE]]&gt;30,"SENIOR",Table2[[#This Row],[AGE]]=30,"EQUALS 30")</f>
        <v>SENIOR</v>
      </c>
      <c r="I7">
        <v>60</v>
      </c>
      <c r="J7" t="str" cm="1">
        <f t="array" ref="J7">_xlfn.IFS(I7&gt;80,"ABOVE 80",I7&gt;70,"ABOVE 70",I7&gt;60,"ABOVE 60",I7&lt;=60,"UNDER 60")</f>
        <v>UNDER 60</v>
      </c>
      <c r="K7" t="str">
        <f t="shared" si="0"/>
        <v>UNDER 80</v>
      </c>
    </row>
    <row r="8" spans="2:11" x14ac:dyDescent="0.25">
      <c r="B8" t="s">
        <v>8</v>
      </c>
      <c r="C8">
        <v>80</v>
      </c>
      <c r="D8" t="str">
        <f>IF(Table1[[#This Row],[MARKS]]&lt;35,"FAIL","PASS")</f>
        <v>PASS</v>
      </c>
      <c r="F8">
        <v>60</v>
      </c>
      <c r="G8" t="str" cm="1">
        <f t="array" ref="G8">_xlfn.IFS(Table2[[#This Row],[AGE]]&lt;30,"ADULT",Table2[[#This Row],[AGE]]&gt;30,"SENIOR",Table2[[#This Row],[AGE]]=30,"EQUALS 30")</f>
        <v>SENIOR</v>
      </c>
      <c r="I8">
        <v>50</v>
      </c>
      <c r="J8" t="str" cm="1">
        <f t="array" ref="J8">_xlfn.IFS(I8&gt;80,"ABOVE 80",I8&gt;70,"ABOVE 70",I8&gt;60,"ABOVE 60",I8&lt;=60,"UNDER 60")</f>
        <v>UNDER 60</v>
      </c>
      <c r="K8" t="str">
        <f t="shared" si="0"/>
        <v>UNDER 80</v>
      </c>
    </row>
    <row r="9" spans="2:11" x14ac:dyDescent="0.25">
      <c r="B9" t="s">
        <v>9</v>
      </c>
      <c r="C9">
        <v>98</v>
      </c>
      <c r="D9" t="str">
        <f>IF(Table1[[#This Row],[MARKS]]&lt;35,"FAIL","PASS")</f>
        <v>PASS</v>
      </c>
      <c r="F9">
        <v>35</v>
      </c>
      <c r="G9" t="str" cm="1">
        <f t="array" ref="G9">_xlfn.IFS(Table2[[#This Row],[AGE]]&lt;30,"ADULT",Table2[[#This Row],[AGE]]&gt;30,"SENIOR",Table2[[#This Row],[AGE]]=30,"EQUALS 30")</f>
        <v>SENIOR</v>
      </c>
      <c r="I9">
        <v>40</v>
      </c>
      <c r="J9" t="str" cm="1">
        <f t="array" ref="J9">_xlfn.IFS(I9&gt;80,"ABOVE 80",I9&gt;70,"ABOVE 70",I9&gt;60,"ABOVE 60",I9&lt;=60,"UNDER 60")</f>
        <v>UNDER 60</v>
      </c>
      <c r="K9" t="str">
        <f t="shared" si="0"/>
        <v>UNDER 50</v>
      </c>
    </row>
    <row r="10" spans="2:11" x14ac:dyDescent="0.25">
      <c r="B10" t="s">
        <v>10</v>
      </c>
      <c r="C10">
        <v>79</v>
      </c>
      <c r="D10" t="str">
        <f>IF(Table1[[#This Row],[MARKS]]&lt;35,"FAIL","PASS")</f>
        <v>PASS</v>
      </c>
      <c r="F10">
        <v>24</v>
      </c>
      <c r="G10" t="str" cm="1">
        <f t="array" ref="G10">_xlfn.IFS(Table2[[#This Row],[AGE]]&lt;30,"ADULT",Table2[[#This Row],[AGE]]&gt;30,"SENIOR",Table2[[#This Row],[AGE]]=30,"EQUALS 30")</f>
        <v>ADULT</v>
      </c>
      <c r="I10">
        <v>20</v>
      </c>
      <c r="J10" t="str" cm="1">
        <f t="array" ref="J10">_xlfn.IFS(I10&gt;80,"ABOVE 80",I10&gt;70,"ABOVE 70",I10&gt;60,"ABOVE 60",I10&lt;=60,"UNDER 60")</f>
        <v>UNDER 60</v>
      </c>
      <c r="K10" t="str">
        <f t="shared" si="0"/>
        <v>UNDER 30</v>
      </c>
    </row>
    <row r="11" spans="2:11" x14ac:dyDescent="0.25">
      <c r="B11" t="s">
        <v>11</v>
      </c>
      <c r="C11">
        <v>25</v>
      </c>
      <c r="D11" t="str">
        <f>IF(Table1[[#This Row],[MARKS]]&lt;35,"FAIL","PASS")</f>
        <v>FAIL</v>
      </c>
      <c r="F11">
        <v>19</v>
      </c>
      <c r="G11" t="str" cm="1">
        <f t="array" ref="G11">_xlfn.IFS(Table2[[#This Row],[AGE]]&lt;30,"ADULT",Table2[[#This Row],[AGE]]&gt;30,"SENIOR",Table2[[#This Row],[AGE]]=30,"EQUALS 30")</f>
        <v>ADULT</v>
      </c>
      <c r="I11">
        <v>30</v>
      </c>
      <c r="J11" t="str" cm="1">
        <f t="array" ref="J11">_xlfn.IFS(I11&gt;80,"ABOVE 80",I11&gt;70,"ABOVE 70",I11&gt;60,"ABOVE 60",I11&lt;=60,"UNDER 60")</f>
        <v>UNDER 60</v>
      </c>
      <c r="K11" t="str">
        <f t="shared" si="0"/>
        <v>UNDER 40</v>
      </c>
    </row>
    <row r="12" spans="2:11" x14ac:dyDescent="0.25">
      <c r="B12" t="s">
        <v>12</v>
      </c>
      <c r="C12">
        <v>53</v>
      </c>
      <c r="D12" t="str">
        <f>IF(Table1[[#This Row],[MARKS]]&lt;35,"FAIL","PASS")</f>
        <v>PASS</v>
      </c>
      <c r="I12">
        <v>80</v>
      </c>
      <c r="J12" t="str" cm="1">
        <f t="array" ref="J12">_xlfn.IFS(I12&gt;80,"ABOVE 80",I12&gt;70,"ABOVE 70",I12&gt;60,"ABOVE 60",I12&lt;=60,"UNDER 60")</f>
        <v>ABOVE 70</v>
      </c>
      <c r="K12" t="str">
        <f t="shared" si="0"/>
        <v>UNDER 80</v>
      </c>
    </row>
    <row r="13" spans="2:11" x14ac:dyDescent="0.25">
      <c r="B13" t="s">
        <v>13</v>
      </c>
      <c r="C13">
        <v>86</v>
      </c>
      <c r="D13" t="str">
        <f>IF(Table1[[#This Row],[MARKS]]&lt;35,"FAIL","PASS")</f>
        <v>PASS</v>
      </c>
    </row>
    <row r="14" spans="2:11" x14ac:dyDescent="0.25">
      <c r="B14" t="s">
        <v>14</v>
      </c>
      <c r="C14">
        <v>34</v>
      </c>
      <c r="D14" t="str">
        <f>IF(Table1[[#This Row],[MARKS]]&lt;35,"FAIL","PASS")</f>
        <v>FAIL</v>
      </c>
      <c r="G14" t="e" cm="1">
        <f t="array" ref="G14">IFS</f>
        <v>#NAME?</v>
      </c>
    </row>
    <row r="17" spans="4:10" x14ac:dyDescent="0.25"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</row>
    <row r="18" spans="4:10" x14ac:dyDescent="0.25">
      <c r="D18">
        <v>60</v>
      </c>
      <c r="E18">
        <v>80</v>
      </c>
      <c r="F18" t="b">
        <f>OR(D18&gt;35,E18&gt;35)</f>
        <v>1</v>
      </c>
      <c r="G18" t="b">
        <f>AND(D18&gt;35,E18&gt;35)</f>
        <v>1</v>
      </c>
      <c r="H18" t="str">
        <f>IF(F18,"PASS","FAIL")</f>
        <v>PASS</v>
      </c>
      <c r="I18" t="str">
        <f>IF(G18,"PASS","FAIL")</f>
        <v>PASS</v>
      </c>
      <c r="J18" t="b">
        <f>_xlfn.XOR(D18&gt;35,E18&lt;35)</f>
        <v>1</v>
      </c>
    </row>
    <row r="19" spans="4:10" x14ac:dyDescent="0.25">
      <c r="D19">
        <v>70</v>
      </c>
      <c r="E19">
        <v>60</v>
      </c>
      <c r="F19" t="b">
        <f t="shared" ref="F19:F23" si="1">OR(D19&gt;35,E19&gt;35)</f>
        <v>1</v>
      </c>
      <c r="G19" t="b">
        <f t="shared" ref="G19:G23" si="2">AND(D19&gt;35,E19&gt;35)</f>
        <v>1</v>
      </c>
      <c r="H19" t="str">
        <f t="shared" ref="H19:H23" si="3">IF(F19,"PASS","FAIL")</f>
        <v>PASS</v>
      </c>
      <c r="I19" t="str">
        <f t="shared" ref="I19:I23" si="4">IF(G19,"PASS","FAIL")</f>
        <v>PASS</v>
      </c>
      <c r="J19" t="b">
        <f t="shared" ref="J19:J23" si="5">_xlfn.XOR(D19&gt;35,E19&lt;35)</f>
        <v>1</v>
      </c>
    </row>
    <row r="20" spans="4:10" x14ac:dyDescent="0.25">
      <c r="D20">
        <v>60</v>
      </c>
      <c r="E20">
        <v>70</v>
      </c>
      <c r="F20" t="b">
        <f t="shared" si="1"/>
        <v>1</v>
      </c>
      <c r="G20" t="b">
        <f t="shared" si="2"/>
        <v>1</v>
      </c>
      <c r="H20" t="str">
        <f t="shared" si="3"/>
        <v>PASS</v>
      </c>
      <c r="I20" t="str">
        <f t="shared" si="4"/>
        <v>PASS</v>
      </c>
      <c r="J20" t="b">
        <f t="shared" si="5"/>
        <v>1</v>
      </c>
    </row>
    <row r="21" spans="4:10" x14ac:dyDescent="0.25">
      <c r="D21">
        <v>20</v>
      </c>
      <c r="E21">
        <v>30</v>
      </c>
      <c r="F21" t="b">
        <f t="shared" si="1"/>
        <v>0</v>
      </c>
      <c r="G21" t="b">
        <f t="shared" si="2"/>
        <v>0</v>
      </c>
      <c r="H21" t="str">
        <f t="shared" si="3"/>
        <v>FAIL</v>
      </c>
      <c r="I21" t="str">
        <f t="shared" si="4"/>
        <v>FAIL</v>
      </c>
      <c r="J21" t="b">
        <f t="shared" si="5"/>
        <v>1</v>
      </c>
    </row>
    <row r="22" spans="4:10" x14ac:dyDescent="0.25">
      <c r="D22">
        <v>30</v>
      </c>
      <c r="E22">
        <v>80</v>
      </c>
      <c r="F22" t="b">
        <f t="shared" si="1"/>
        <v>1</v>
      </c>
      <c r="G22" t="b">
        <f t="shared" si="2"/>
        <v>0</v>
      </c>
      <c r="H22" t="str">
        <f t="shared" si="3"/>
        <v>PASS</v>
      </c>
      <c r="I22" t="str">
        <f t="shared" si="4"/>
        <v>FAIL</v>
      </c>
      <c r="J22" t="b">
        <f t="shared" si="5"/>
        <v>0</v>
      </c>
    </row>
    <row r="23" spans="4:10" x14ac:dyDescent="0.25">
      <c r="D23">
        <v>75</v>
      </c>
      <c r="E23">
        <v>60</v>
      </c>
      <c r="F23" t="b">
        <f t="shared" si="1"/>
        <v>1</v>
      </c>
      <c r="G23" t="b">
        <f t="shared" si="2"/>
        <v>1</v>
      </c>
      <c r="H23" t="str">
        <f t="shared" si="3"/>
        <v>PASS</v>
      </c>
      <c r="I23" t="str">
        <f t="shared" si="4"/>
        <v>PASS</v>
      </c>
      <c r="J23" t="b">
        <f t="shared" si="5"/>
        <v>1</v>
      </c>
    </row>
  </sheetData>
  <mergeCells count="1">
    <mergeCell ref="G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2026-06-02T06:30:00Z</dcterms:created>
  <dcterms:modified xsi:type="dcterms:W3CDTF">2026-06-02T07:12:41Z</dcterms:modified>
</cp:coreProperties>
</file>
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3.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13_ncr:1_{AE08ED1E-72C1-4CEC-9FAF-F2AB10E6F34B}" xr6:coauthVersionLast="47" xr6:coauthVersionMax="47" xr10:uidLastSave="{00000000-0000-0000-0000-000000000000}"/>
  <bookViews>
    <workbookView xWindow="-120" yWindow="-120" windowWidth="29040" windowHeight="15720" firstSheet="3" activeTab="11" xr2:uid="{6ADC7021-E02B-41CE-9903-C7FC38A74BCD}"/>
  </bookViews>
  <sheets>
    <sheet name="Sheet2" sheetId="2" r:id="rId1"/>
    <sheet name="Sheet3" sheetId="3" r:id="rId2"/>
    <sheet name="Sheet4" sheetId="4" r:id="rId3"/>
    <sheet name="Sheet5" sheetId="5" r:id="rId4"/>
    <sheet name="Sheet6" sheetId="6" r:id="rId5"/>
    <sheet name="Sheet7" sheetId="7" r:id="rId6"/>
    <sheet name="Sheet8" sheetId="8" r:id="rId7"/>
    <sheet name="Sheet9" sheetId="9" r:id="rId8"/>
    <sheet name="Sheet10" sheetId="10" r:id="rId9"/>
    <sheet name="Sheet11" sheetId="11" r:id="rId10"/>
    <sheet name="Sheet12" sheetId="12" r:id="rId11"/>
    <sheet name="Sheet13" sheetId="13" r:id="rId12"/>
    <sheet name="Sheet1" sheetId="1" r:id="rId13"/>
  </sheets>
  <definedNames>
    <definedName name="_xlnm._FilterDatabase" localSheetId="12" hidden="1">Sheet1!$D$1:$D$42</definedName>
    <definedName name="_xlcn.WorksheetConnection_dataanalysis.xlsxTable11" hidden="1">Table1[]</definedName>
    <definedName name="_xlcn.WorksheetConnection_dataanalysis.xlsxTable21" hidden="1">Table2[]</definedName>
    <definedName name="_xlcn.WorksheetConnection_Sheet1A1Q421" hidden="1">Sheet1!$A$1:$Q$42</definedName>
    <definedName name="Slicer_Discount">#N/A</definedName>
    <definedName name="Slicer_PaymentMethod">#N/A</definedName>
    <definedName name="Slicer_Region">#N/A</definedName>
  </definedNames>
  <calcPr calcId="191029"/>
  <pivotCaches>
    <pivotCache cacheId="7" r:id="rId14"/>
    <pivotCache cacheId="18" r:id="rId15"/>
    <pivotCache cacheId="230" r:id="rId16"/>
    <pivotCache cacheId="279" r:id="rId17"/>
  </pivotCaches>
  <extLst>
    <ext xmlns:x14="http://schemas.microsoft.com/office/spreadsheetml/2009/9/main" uri="{876F7934-8845-4945-9796-88D515C7AA90}">
      <x14:pivotCaches>
        <pivotCache cacheId="136"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Q$42"/>
          <x15:modelTable id="Table1" name="Table1" connection="WorksheetConnection_data analysis.xlsx!Table1"/>
          <x15:modelTable id="Table2" name="Table2" connection="WorksheetConnection_data analysis.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Q4" i="1" s="1"/>
  <c r="Q5" i="1" s="1"/>
  <c r="Q6" i="1" s="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C3"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942D8-8A0F-49A8-83DC-0CD4E6E660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1584F2-8432-4D9F-999B-58A0285F7BE6}" name="WorksheetConnection_data analysis.xlsx!Table1" type="102" refreshedVersion="8" minRefreshableVersion="5">
    <extLst>
      <ext xmlns:x15="http://schemas.microsoft.com/office/spreadsheetml/2010/11/main" uri="{DE250136-89BD-433C-8126-D09CA5730AF9}">
        <x15:connection id="Table1">
          <x15:rangePr sourceName="_xlcn.WorksheetConnection_dataanalysis.xlsxTable11"/>
        </x15:connection>
      </ext>
    </extLst>
  </connection>
  <connection id="3" xr16:uid="{02E844A8-FF00-490C-907B-8327AFB49538}" name="WorksheetConnection_data analysis.xlsx!Table2" type="102" refreshedVersion="8" minRefreshableVersion="5">
    <extLst>
      <ext xmlns:x15="http://schemas.microsoft.com/office/spreadsheetml/2010/11/main" uri="{DE250136-89BD-433C-8126-D09CA5730AF9}">
        <x15:connection id="Table2">
          <x15:rangePr sourceName="_xlcn.WorksheetConnection_dataanalysis.xlsxTable21"/>
        </x15:connection>
      </ext>
    </extLst>
  </connection>
  <connection id="4" xr16:uid="{07361FEA-CEA3-4C37-92D8-6A489C5877DB}" name="WorksheetConnection_Sheet1!$A$1:$Q$42" type="102" refreshedVersion="8" minRefreshableVersion="5">
    <extLst>
      <ext xmlns:x15="http://schemas.microsoft.com/office/spreadsheetml/2010/11/main" uri="{DE250136-89BD-433C-8126-D09CA5730AF9}">
        <x15:connection id="Range" autoDelete="1">
          <x15:rangePr sourceName="_xlcn.WorksheetConnection_Sheet1A1Q4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Region].[All]}"/>
    <s v="{[Range].[ProductCatego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<sst xmlns="http://schemas.openxmlformats.org/spreadsheetml/2006/main" count="601" uniqueCount="181">
  <si>
    <t>Electronics</t>
  </si>
  <si>
    <t>TransactionID</t>
  </si>
  <si>
    <t>CustomerID</t>
  </si>
  <si>
    <t>ProductID</t>
  </si>
  <si>
    <t>ProductCategory</t>
  </si>
  <si>
    <t>Quantity</t>
  </si>
  <si>
    <t>Price</t>
  </si>
  <si>
    <t>Discount</t>
  </si>
  <si>
    <t>TransactionDate</t>
  </si>
  <si>
    <t>PaymentMethod</t>
  </si>
  <si>
    <t>CustomerLocation</t>
  </si>
  <si>
    <t>CustomerAge</t>
  </si>
  <si>
    <t>CustomerGender</t>
  </si>
  <si>
    <t>CustomerIncomeGroup</t>
  </si>
  <si>
    <t>CustomerLoyaltyScore</t>
  </si>
  <si>
    <t>Clothing</t>
  </si>
  <si>
    <t>Cash on Delivery</t>
  </si>
  <si>
    <t>New Juan</t>
  </si>
  <si>
    <t>Female</t>
  </si>
  <si>
    <t>Medium</t>
  </si>
  <si>
    <t>Beauty</t>
  </si>
  <si>
    <t>Debit Card</t>
  </si>
  <si>
    <t>South Julie</t>
  </si>
  <si>
    <t>Other</t>
  </si>
  <si>
    <t>High</t>
  </si>
  <si>
    <t>Toys</t>
  </si>
  <si>
    <t>West Carrieview</t>
  </si>
  <si>
    <t>Bank Transfer</t>
  </si>
  <si>
    <t>Christianberg</t>
  </si>
  <si>
    <t>Low</t>
  </si>
  <si>
    <t>South Williamhaven</t>
  </si>
  <si>
    <t>Books</t>
  </si>
  <si>
    <t>Stephenfort</t>
  </si>
  <si>
    <t>Male</t>
  </si>
  <si>
    <t>Credit Card</t>
  </si>
  <si>
    <t>North Terristad</t>
  </si>
  <si>
    <t>Sports</t>
  </si>
  <si>
    <t>Pachecotown</t>
  </si>
  <si>
    <t>Port Philipberg</t>
  </si>
  <si>
    <t>Jenniferfurt</t>
  </si>
  <si>
    <t>Lake Carolyn</t>
  </si>
  <si>
    <t>Amandaborough</t>
  </si>
  <si>
    <t>South Maria</t>
  </si>
  <si>
    <t>Home &amp; Kitchen</t>
  </si>
  <si>
    <t>West Marissa</t>
  </si>
  <si>
    <t>Austinburgh</t>
  </si>
  <si>
    <t>Lake Jesse</t>
  </si>
  <si>
    <t>Marioburgh</t>
  </si>
  <si>
    <t>PayPal</t>
  </si>
  <si>
    <t>Ryanhaven</t>
  </si>
  <si>
    <t>Dickersonmouth</t>
  </si>
  <si>
    <t>Annaborough</t>
  </si>
  <si>
    <t>Ramirezburgh</t>
  </si>
  <si>
    <t>Sextonberg</t>
  </si>
  <si>
    <t>Beasleyshire</t>
  </si>
  <si>
    <t>Lake Brittneyland</t>
  </si>
  <si>
    <t>South John</t>
  </si>
  <si>
    <t>New Devin</t>
  </si>
  <si>
    <t>Lake Denise</t>
  </si>
  <si>
    <t>South Susan</t>
  </si>
  <si>
    <t>Johnsonchester</t>
  </si>
  <si>
    <t>Martinberg</t>
  </si>
  <si>
    <t>Lake Billy</t>
  </si>
  <si>
    <t>Josephborough</t>
  </si>
  <si>
    <t>Noahbury</t>
  </si>
  <si>
    <t>Bowmanport</t>
  </si>
  <si>
    <t>South Melvinville</t>
  </si>
  <si>
    <t>East Brittany</t>
  </si>
  <si>
    <t>Lake Stephaniefurt</t>
  </si>
  <si>
    <t>North Adam</t>
  </si>
  <si>
    <t>Sancheztown</t>
  </si>
  <si>
    <t>Burtonmouth</t>
  </si>
  <si>
    <t>Lake Josephmouth</t>
  </si>
  <si>
    <t>Column1</t>
  </si>
  <si>
    <t>Mean</t>
  </si>
  <si>
    <t>Standard Error</t>
  </si>
  <si>
    <t>Median</t>
  </si>
  <si>
    <t>Mode</t>
  </si>
  <si>
    <t>Standard Deviation</t>
  </si>
  <si>
    <t>Sample Variance</t>
  </si>
  <si>
    <t>Kurtosis</t>
  </si>
  <si>
    <t>Skewness</t>
  </si>
  <si>
    <t>Range</t>
  </si>
  <si>
    <t>Minimum</t>
  </si>
  <si>
    <t>Maximum</t>
  </si>
  <si>
    <t>Sum</t>
  </si>
  <si>
    <t>Count</t>
  </si>
  <si>
    <t>Region</t>
  </si>
  <si>
    <t>Sales</t>
  </si>
  <si>
    <t>Profit</t>
  </si>
  <si>
    <t>North</t>
  </si>
  <si>
    <t>South</t>
  </si>
  <si>
    <t>East</t>
  </si>
  <si>
    <t>West</t>
  </si>
  <si>
    <t>Anova: Single Factor</t>
  </si>
  <si>
    <t>SUMMARY</t>
  </si>
  <si>
    <t>Groups</t>
  </si>
  <si>
    <t>Average</t>
  </si>
  <si>
    <t>Variance</t>
  </si>
  <si>
    <t>ANOVA</t>
  </si>
  <si>
    <t>Source of Variation</t>
  </si>
  <si>
    <t>SS</t>
  </si>
  <si>
    <t>df</t>
  </si>
  <si>
    <t>MS</t>
  </si>
  <si>
    <t>F</t>
  </si>
  <si>
    <t>P-value</t>
  </si>
  <si>
    <t>F crit</t>
  </si>
  <si>
    <t>Between Groups</t>
  </si>
  <si>
    <t>Within Groups</t>
  </si>
  <si>
    <t>Total</t>
  </si>
  <si>
    <t>bins</t>
  </si>
  <si>
    <t>More</t>
  </si>
  <si>
    <t>Frequency</t>
  </si>
  <si>
    <t>Cumulative %</t>
  </si>
  <si>
    <t>2000</t>
  </si>
  <si>
    <t>SUMMARY OUTPUT</t>
  </si>
  <si>
    <t>Regression Statistics</t>
  </si>
  <si>
    <t>Multiple R</t>
  </si>
  <si>
    <t>R Square</t>
  </si>
  <si>
    <t>Adjusted R Square</t>
  </si>
  <si>
    <t>Observations</t>
  </si>
  <si>
    <t>Regression</t>
  </si>
  <si>
    <t>Residual</t>
  </si>
  <si>
    <t>Intercept</t>
  </si>
  <si>
    <t>Significance F</t>
  </si>
  <si>
    <t>Coefficients</t>
  </si>
  <si>
    <t>t Stat</t>
  </si>
  <si>
    <t>Lower 95%</t>
  </si>
  <si>
    <t>Upper 95%</t>
  </si>
  <si>
    <t>Lower 95.0%</t>
  </si>
  <si>
    <t>Upper 95.0%</t>
  </si>
  <si>
    <t>X Variable 1</t>
  </si>
  <si>
    <t>RESIDUAL OUTPUT</t>
  </si>
  <si>
    <t>Observation</t>
  </si>
  <si>
    <t>Predicted Y</t>
  </si>
  <si>
    <t>Residuals</t>
  </si>
  <si>
    <t>Standard Residuals</t>
  </si>
  <si>
    <t>PROBABILITY OUTPUT</t>
  </si>
  <si>
    <t>Percentile</t>
  </si>
  <si>
    <t>Y</t>
  </si>
  <si>
    <t>Anova: Two-Factor Without Replication</t>
  </si>
  <si>
    <t>Rows</t>
  </si>
  <si>
    <t>Columns</t>
  </si>
  <si>
    <t>Error</t>
  </si>
  <si>
    <t>toys</t>
  </si>
  <si>
    <t>electronics</t>
  </si>
  <si>
    <t>Anova: Two-Factor With Replication</t>
  </si>
  <si>
    <t>Sample</t>
  </si>
  <si>
    <t>Interaction</t>
  </si>
  <si>
    <t>Within</t>
  </si>
  <si>
    <t>region</t>
  </si>
  <si>
    <t>product</t>
  </si>
  <si>
    <t>sales</t>
  </si>
  <si>
    <t>correlation</t>
  </si>
  <si>
    <t>Electronics2</t>
  </si>
  <si>
    <t>Beauty3</t>
  </si>
  <si>
    <t>Row Labels</t>
  </si>
  <si>
    <t>Grand Total</t>
  </si>
  <si>
    <t>Section 1</t>
  </si>
  <si>
    <t>Section 2</t>
  </si>
  <si>
    <t>Section 3</t>
  </si>
  <si>
    <t>A</t>
  </si>
  <si>
    <t>B</t>
  </si>
  <si>
    <t>histogram</t>
  </si>
  <si>
    <t>descriptive statistics</t>
  </si>
  <si>
    <t>Sum of SS</t>
  </si>
  <si>
    <t>Sum of df</t>
  </si>
  <si>
    <t>Sum of MS</t>
  </si>
  <si>
    <t>Sum of F</t>
  </si>
  <si>
    <t>Sum of P-value</t>
  </si>
  <si>
    <t>Sum of F crit</t>
  </si>
  <si>
    <t>(All)</t>
  </si>
  <si>
    <t>Column Labels</t>
  </si>
  <si>
    <t>Sum of Price</t>
  </si>
  <si>
    <t>Sum of Sales</t>
  </si>
  <si>
    <t>All</t>
  </si>
  <si>
    <t>Total Sum of Quantity</t>
  </si>
  <si>
    <t>Sum of Quantity</t>
  </si>
  <si>
    <t>Total Sum of Price</t>
  </si>
  <si>
    <t>Sum of Profit</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</si>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</sst>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s>
  <cellStyleXfs count="1">
    <xf numFmtId="0" fontId="0" fillId="0" borderId="0"/>
  </cellStyleXfs>
  <cellXfs count="30">
    <xf numFmtId="0" fontId="0" fillId="0" borderId="0" xfId="0"/>
    <xf numFmtId="0" fontId="0" fillId="0" borderId="1" xfId="0" applyBorder="1"/>
    <xf numFmtId="22" fontId="0" fillId="0" borderId="1" xfId="0" applyNumberFormat="1" applyBorder="1"/>
    <xf numFmtId="0" fontId="2" fillId="0" borderId="1" xfId="0" applyFont="1" applyBorder="1"/>
    <xf numFmtId="0" fontId="0" fillId="0" borderId="2" xfId="0" applyBorder="1"/>
    <xf numFmtId="0" fontId="3" fillId="0" borderId="3" xfId="0" applyFont="1" applyBorder="1" applyAlignment="1">
      <alignment horizontal="center"/>
    </xf>
    <xf numFmtId="0" fontId="3" fillId="0" borderId="3" xfId="0" applyFont="1" applyBorder="1" applyAlignment="1">
      <alignment horizontal="centerContinuous"/>
    </xf>
    <xf numFmtId="2" fontId="2" fillId="0" borderId="1" xfId="0" applyNumberFormat="1" applyFont="1" applyBorder="1"/>
    <xf numFmtId="2" fontId="0" fillId="0" borderId="1" xfId="0" applyNumberFormat="1" applyBorder="1"/>
    <xf numFmtId="2" fontId="0" fillId="0" borderId="0" xfId="0" applyNumberFormat="1"/>
    <xf numFmtId="2" fontId="2" fillId="2" borderId="1" xfId="0" applyNumberFormat="1" applyFont="1" applyFill="1" applyBorder="1" applyAlignment="1">
      <alignment horizontal="right" vertical="center" wrapText="1"/>
    </xf>
    <xf numFmtId="2" fontId="0" fillId="0" borderId="1" xfId="0" applyNumberFormat="1" applyBorder="1" applyAlignment="1">
      <alignment horizontal="right" vertical="center" wrapText="1"/>
    </xf>
    <xf numFmtId="10" fontId="0" fillId="0" borderId="0" xfId="0" applyNumberFormat="1"/>
    <xf numFmtId="10" fontId="0" fillId="0" borderId="2" xfId="0" applyNumberFormat="1" applyBorder="1"/>
    <xf numFmtId="2" fontId="0" fillId="0" borderId="2" xfId="0" applyNumberFormat="1" applyBorder="1"/>
    <xf numFmtId="2" fontId="2" fillId="2" borderId="1" xfId="0" applyNumberFormat="1" applyFont="1" applyFill="1" applyBorder="1" applyAlignment="1">
      <alignment horizontal="center" vertical="center" wrapText="1"/>
    </xf>
    <xf numFmtId="2" fontId="0" fillId="0" borderId="1" xfId="0" applyNumberFormat="1" applyBorder="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2" fontId="1" fillId="0" borderId="0" xfId="0" applyNumberFormat="1" applyFont="1" applyAlignment="1">
      <alignment horizontal="center" vertical="center" wrapText="1"/>
    </xf>
    <xf numFmtId="2" fontId="0" fillId="0" borderId="0" xfId="0" applyNumberFormat="1" applyAlignment="1">
      <alignment vertical="center" wrapText="1"/>
    </xf>
    <xf numFmtId="0" fontId="4" fillId="0" borderId="4" xfId="0" applyFont="1" applyBorder="1" applyAlignment="1">
      <alignment horizontal="right"/>
    </xf>
    <xf numFmtId="0" fontId="0" fillId="0" borderId="0" xfId="0" applyFill="1" applyBorder="1" applyAlignment="1"/>
    <xf numFmtId="0" fontId="4" fillId="0" borderId="4" xfId="0" applyFont="1" applyFill="1" applyBorder="1" applyAlignment="1">
      <alignment horizontal="right"/>
    </xf>
    <xf numFmtId="0" fontId="0" fillId="0" borderId="2" xfId="0" applyFill="1" applyBorder="1" applyAlignment="1"/>
    <xf numFmtId="0" fontId="3" fillId="0" borderId="3"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20">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39994506668294322"/>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numFmt numFmtId="2" formatCode="0.00"/>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2" formatCode="0.00"/>
      <alignment horizontal="center" vertical="center" textRotation="0" wrapText="1" indent="0" justifyLastLine="0" shrinkToFit="0" readingOrder="0"/>
    </dxf>
    <dxf>
      <numFmt numFmtId="2" formatCode="0.00"/>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2" formatCode="0.00"/>
      <alignment horizontal="center" vertical="center" textRotation="0" wrapText="1" indent="0" justifyLastLine="0" shrinkToFit="0" readingOrder="0"/>
    </dxf>
    <dxf>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powerPivotData" Target="model/item.data"/></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Sheet8!$D$2:$D$9</c:f>
              <c:strCache>
                <c:ptCount val="8"/>
                <c:pt idx="0">
                  <c:v>0.15</c:v>
                </c:pt>
                <c:pt idx="1">
                  <c:v>0.25</c:v>
                </c:pt>
                <c:pt idx="2">
                  <c:v>0.30</c:v>
                </c:pt>
                <c:pt idx="3">
                  <c:v>0.05</c:v>
                </c:pt>
                <c:pt idx="4">
                  <c:v>0.10</c:v>
                </c:pt>
                <c:pt idx="5">
                  <c:v>0.01</c:v>
                </c:pt>
                <c:pt idx="6">
                  <c:v>0.20</c:v>
                </c:pt>
                <c:pt idx="7">
                  <c:v>More</c:v>
                </c:pt>
              </c:strCache>
            </c:strRef>
          </c:cat>
          <c:val>
            <c:numRef>
              <c:f>Sheet8!$E$2:$E$9</c:f>
              <c:numCache>
                <c:formatCode>General</c:formatCode>
                <c:ptCount val="8"/>
                <c:pt idx="0">
                  <c:v>8</c:v>
                </c:pt>
                <c:pt idx="1">
                  <c:v>7</c:v>
                </c:pt>
                <c:pt idx="2">
                  <c:v>7</c:v>
                </c:pt>
                <c:pt idx="3">
                  <c:v>5</c:v>
                </c:pt>
                <c:pt idx="4">
                  <c:v>5</c:v>
                </c:pt>
                <c:pt idx="5">
                  <c:v>4</c:v>
                </c:pt>
                <c:pt idx="6">
                  <c:v>4</c:v>
                </c:pt>
                <c:pt idx="7">
                  <c:v>0</c:v>
                </c:pt>
              </c:numCache>
            </c:numRef>
          </c:val>
          <c:extLst>
            <c:ext xmlns:c16="http://schemas.microsoft.com/office/drawing/2014/chart" uri="{C3380CC4-5D6E-409C-BE32-E72D297353CC}">
              <c16:uniqueId val="{00000001-D23F-43BB-B1B4-6ED828973B3A}"/>
            </c:ext>
          </c:extLst>
        </c:ser>
        <c:dLbls>
          <c:showLegendKey val="0"/>
          <c:showVal val="0"/>
          <c:showCatName val="0"/>
          <c:showSerName val="0"/>
          <c:showPercent val="0"/>
          <c:showBubbleSize val="0"/>
        </c:dLbls>
        <c:gapWidth val="150"/>
        <c:axId val="1096593216"/>
        <c:axId val="1096591296"/>
      </c:barChart>
      <c:lineChart>
        <c:grouping val="standard"/>
        <c:varyColors val="0"/>
        <c:ser>
          <c:idx val="1"/>
          <c:order val="1"/>
          <c:tx>
            <c:v>Cumulative %</c:v>
          </c:tx>
          <c:cat>
            <c:strRef>
              <c:f>Sheet8!$D$2:$D$9</c:f>
              <c:strCache>
                <c:ptCount val="8"/>
                <c:pt idx="0">
                  <c:v>0.15</c:v>
                </c:pt>
                <c:pt idx="1">
                  <c:v>0.25</c:v>
                </c:pt>
                <c:pt idx="2">
                  <c:v>0.30</c:v>
                </c:pt>
                <c:pt idx="3">
                  <c:v>0.05</c:v>
                </c:pt>
                <c:pt idx="4">
                  <c:v>0.10</c:v>
                </c:pt>
                <c:pt idx="5">
                  <c:v>0.01</c:v>
                </c:pt>
                <c:pt idx="6">
                  <c:v>0.20</c:v>
                </c:pt>
                <c:pt idx="7">
                  <c:v>More</c:v>
                </c:pt>
              </c:strCache>
            </c:strRef>
          </c:cat>
          <c:val>
            <c:numRef>
              <c:f>Sheet8!$F$2:$F$9</c:f>
              <c:numCache>
                <c:formatCode>0.00%</c:formatCode>
                <c:ptCount val="8"/>
                <c:pt idx="0">
                  <c:v>0.2</c:v>
                </c:pt>
                <c:pt idx="1">
                  <c:v>0.375</c:v>
                </c:pt>
                <c:pt idx="2">
                  <c:v>0.55000000000000004</c:v>
                </c:pt>
                <c:pt idx="3">
                  <c:v>0.67500000000000004</c:v>
                </c:pt>
                <c:pt idx="4">
                  <c:v>0.8</c:v>
                </c:pt>
                <c:pt idx="5">
                  <c:v>0.9</c:v>
                </c:pt>
                <c:pt idx="6">
                  <c:v>1</c:v>
                </c:pt>
                <c:pt idx="7">
                  <c:v>1</c:v>
                </c:pt>
              </c:numCache>
            </c:numRef>
          </c:val>
          <c:smooth val="0"/>
          <c:extLst>
            <c:ext xmlns:c16="http://schemas.microsoft.com/office/drawing/2014/chart" uri="{C3380CC4-5D6E-409C-BE32-E72D297353CC}">
              <c16:uniqueId val="{00000002-D23F-43BB-B1B4-6ED828973B3A}"/>
            </c:ext>
          </c:extLst>
        </c:ser>
        <c:dLbls>
          <c:showLegendKey val="0"/>
          <c:showVal val="0"/>
          <c:showCatName val="0"/>
          <c:showSerName val="0"/>
          <c:showPercent val="0"/>
          <c:showBubbleSize val="0"/>
        </c:dLbls>
        <c:marker val="1"/>
        <c:smooth val="0"/>
        <c:axId val="1343599712"/>
        <c:axId val="1343604032"/>
      </c:lineChart>
      <c:catAx>
        <c:axId val="1096593216"/>
        <c:scaling>
          <c:orientation val="minMax"/>
        </c:scaling>
        <c:delete val="0"/>
        <c:axPos val="b"/>
        <c:title>
          <c:tx>
            <c:rich>
              <a:bodyPr/>
              <a:lstStyle/>
              <a:p>
                <a:pPr>
                  <a:defRPr/>
                </a:pPr>
                <a:r>
                  <a:rPr lang="en-IN"/>
                  <a:t>bins</a:t>
                </a:r>
              </a:p>
            </c:rich>
          </c:tx>
          <c:overlay val="0"/>
        </c:title>
        <c:numFmt formatCode="General" sourceLinked="1"/>
        <c:majorTickMark val="out"/>
        <c:minorTickMark val="none"/>
        <c:tickLblPos val="nextTo"/>
        <c:crossAx val="1096591296"/>
        <c:crosses val="autoZero"/>
        <c:auto val="1"/>
        <c:lblAlgn val="ctr"/>
        <c:lblOffset val="100"/>
        <c:noMultiLvlLbl val="0"/>
      </c:catAx>
      <c:valAx>
        <c:axId val="1096591296"/>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096593216"/>
        <c:crosses val="autoZero"/>
        <c:crossBetween val="between"/>
      </c:valAx>
      <c:valAx>
        <c:axId val="1343604032"/>
        <c:scaling>
          <c:orientation val="minMax"/>
        </c:scaling>
        <c:delete val="0"/>
        <c:axPos val="r"/>
        <c:numFmt formatCode="0.00%" sourceLinked="1"/>
        <c:majorTickMark val="out"/>
        <c:minorTickMark val="none"/>
        <c:tickLblPos val="nextTo"/>
        <c:crossAx val="1343599712"/>
        <c:crosses val="max"/>
        <c:crossBetween val="between"/>
      </c:valAx>
      <c:catAx>
        <c:axId val="1343599712"/>
        <c:scaling>
          <c:orientation val="minMax"/>
        </c:scaling>
        <c:delete val="1"/>
        <c:axPos val="b"/>
        <c:numFmt formatCode="General" sourceLinked="1"/>
        <c:majorTickMark val="out"/>
        <c:minorTickMark val="none"/>
        <c:tickLblPos val="nextTo"/>
        <c:crossAx val="1343604032"/>
        <c:crosses val="autoZero"/>
        <c:auto val="1"/>
        <c:lblAlgn val="ctr"/>
        <c:lblOffset val="100"/>
        <c:noMultiLvlLbl val="0"/>
      </c:cat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Sheet9!$D$2:$D$7</c:f>
              <c:strCache>
                <c:ptCount val="6"/>
                <c:pt idx="0">
                  <c:v>4000.00</c:v>
                </c:pt>
                <c:pt idx="1">
                  <c:v>5000.00</c:v>
                </c:pt>
                <c:pt idx="2">
                  <c:v>7000.00</c:v>
                </c:pt>
                <c:pt idx="3">
                  <c:v>3000.00</c:v>
                </c:pt>
                <c:pt idx="4">
                  <c:v>6000.00</c:v>
                </c:pt>
                <c:pt idx="5">
                  <c:v>More</c:v>
                </c:pt>
              </c:strCache>
            </c:strRef>
          </c:cat>
          <c:val>
            <c:numRef>
              <c:f>Sheet9!$E$2:$E$7</c:f>
              <c:numCache>
                <c:formatCode>General</c:formatCode>
                <c:ptCount val="6"/>
                <c:pt idx="0">
                  <c:v>8</c:v>
                </c:pt>
                <c:pt idx="1">
                  <c:v>7</c:v>
                </c:pt>
                <c:pt idx="2">
                  <c:v>7</c:v>
                </c:pt>
                <c:pt idx="3">
                  <c:v>6</c:v>
                </c:pt>
                <c:pt idx="4">
                  <c:v>6</c:v>
                </c:pt>
                <c:pt idx="5">
                  <c:v>5</c:v>
                </c:pt>
              </c:numCache>
            </c:numRef>
          </c:val>
          <c:extLst>
            <c:ext xmlns:c16="http://schemas.microsoft.com/office/drawing/2014/chart" uri="{C3380CC4-5D6E-409C-BE32-E72D297353CC}">
              <c16:uniqueId val="{00000001-5110-4201-8B86-6E9C7D3C0D37}"/>
            </c:ext>
          </c:extLst>
        </c:ser>
        <c:dLbls>
          <c:showLegendKey val="0"/>
          <c:showVal val="0"/>
          <c:showCatName val="0"/>
          <c:showSerName val="0"/>
          <c:showPercent val="0"/>
          <c:showBubbleSize val="0"/>
        </c:dLbls>
        <c:gapWidth val="150"/>
        <c:axId val="1343598752"/>
        <c:axId val="1343601632"/>
      </c:barChart>
      <c:lineChart>
        <c:grouping val="standard"/>
        <c:varyColors val="0"/>
        <c:ser>
          <c:idx val="1"/>
          <c:order val="1"/>
          <c:tx>
            <c:v>Cumulative %</c:v>
          </c:tx>
          <c:cat>
            <c:strRef>
              <c:f>Sheet9!$D$2:$D$7</c:f>
              <c:strCache>
                <c:ptCount val="6"/>
                <c:pt idx="0">
                  <c:v>4000.00</c:v>
                </c:pt>
                <c:pt idx="1">
                  <c:v>5000.00</c:v>
                </c:pt>
                <c:pt idx="2">
                  <c:v>7000.00</c:v>
                </c:pt>
                <c:pt idx="3">
                  <c:v>3000.00</c:v>
                </c:pt>
                <c:pt idx="4">
                  <c:v>6000.00</c:v>
                </c:pt>
                <c:pt idx="5">
                  <c:v>More</c:v>
                </c:pt>
              </c:strCache>
            </c:strRef>
          </c:cat>
          <c:val>
            <c:numRef>
              <c:f>Sheet9!$F$2:$F$7</c:f>
              <c:numCache>
                <c:formatCode>0.00%</c:formatCode>
                <c:ptCount val="6"/>
                <c:pt idx="0">
                  <c:v>0.20512820512820512</c:v>
                </c:pt>
                <c:pt idx="1">
                  <c:v>0.38461538461538464</c:v>
                </c:pt>
                <c:pt idx="2">
                  <c:v>0.5641025641025641</c:v>
                </c:pt>
                <c:pt idx="3">
                  <c:v>0.71794871794871795</c:v>
                </c:pt>
                <c:pt idx="4">
                  <c:v>0.87179487179487181</c:v>
                </c:pt>
                <c:pt idx="5">
                  <c:v>1</c:v>
                </c:pt>
              </c:numCache>
            </c:numRef>
          </c:val>
          <c:smooth val="0"/>
          <c:extLst>
            <c:ext xmlns:c16="http://schemas.microsoft.com/office/drawing/2014/chart" uri="{C3380CC4-5D6E-409C-BE32-E72D297353CC}">
              <c16:uniqueId val="{00000002-5110-4201-8B86-6E9C7D3C0D37}"/>
            </c:ext>
          </c:extLst>
        </c:ser>
        <c:dLbls>
          <c:showLegendKey val="0"/>
          <c:showVal val="0"/>
          <c:showCatName val="0"/>
          <c:showSerName val="0"/>
          <c:showPercent val="0"/>
          <c:showBubbleSize val="0"/>
        </c:dLbls>
        <c:marker val="1"/>
        <c:smooth val="0"/>
        <c:axId val="1390578208"/>
        <c:axId val="1390574848"/>
      </c:lineChart>
      <c:catAx>
        <c:axId val="1343598752"/>
        <c:scaling>
          <c:orientation val="minMax"/>
        </c:scaling>
        <c:delete val="0"/>
        <c:axPos val="b"/>
        <c:title>
          <c:tx>
            <c:rich>
              <a:bodyPr/>
              <a:lstStyle/>
              <a:p>
                <a:pPr>
                  <a:defRPr/>
                </a:pPr>
                <a:r>
                  <a:rPr lang="en-IN"/>
                  <a:t>2000</a:t>
                </a:r>
              </a:p>
            </c:rich>
          </c:tx>
          <c:overlay val="0"/>
        </c:title>
        <c:numFmt formatCode="General" sourceLinked="1"/>
        <c:majorTickMark val="out"/>
        <c:minorTickMark val="none"/>
        <c:tickLblPos val="nextTo"/>
        <c:crossAx val="1343601632"/>
        <c:crosses val="autoZero"/>
        <c:auto val="1"/>
        <c:lblAlgn val="ctr"/>
        <c:lblOffset val="100"/>
        <c:noMultiLvlLbl val="0"/>
      </c:catAx>
      <c:valAx>
        <c:axId val="1343601632"/>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343598752"/>
        <c:crosses val="autoZero"/>
        <c:crossBetween val="between"/>
      </c:valAx>
      <c:valAx>
        <c:axId val="1390574848"/>
        <c:scaling>
          <c:orientation val="minMax"/>
        </c:scaling>
        <c:delete val="0"/>
        <c:axPos val="r"/>
        <c:numFmt formatCode="0.00%" sourceLinked="1"/>
        <c:majorTickMark val="out"/>
        <c:minorTickMark val="none"/>
        <c:tickLblPos val="nextTo"/>
        <c:crossAx val="1390578208"/>
        <c:crosses val="max"/>
        <c:crossBetween val="between"/>
      </c:valAx>
      <c:catAx>
        <c:axId val="1390578208"/>
        <c:scaling>
          <c:orientation val="minMax"/>
        </c:scaling>
        <c:delete val="1"/>
        <c:axPos val="b"/>
        <c:numFmt formatCode="General" sourceLinked="1"/>
        <c:majorTickMark val="out"/>
        <c:minorTickMark val="none"/>
        <c:tickLblPos val="nextTo"/>
        <c:crossAx val="1390574848"/>
        <c:crosses val="autoZero"/>
        <c:auto val="1"/>
        <c:lblAlgn val="ctr"/>
        <c:lblOffset val="100"/>
        <c:noMultiLvlLbl val="0"/>
      </c:cat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Residual Plot</a:t>
            </a:r>
          </a:p>
        </c:rich>
      </c:tx>
      <c:overlay val="0"/>
    </c:title>
    <c:autoTitleDeleted val="0"/>
    <c:plotArea>
      <c:layout/>
      <c:scatterChart>
        <c:scatterStyle val="lineMarker"/>
        <c:varyColors val="0"/>
        <c:ser>
          <c:idx val="0"/>
          <c:order val="0"/>
          <c:spPr>
            <a:ln w="19050">
              <a:noFill/>
            </a:ln>
          </c:spPr>
          <c:xVal>
            <c:numRef>
              <c:f>Sheet1!$G$2:$G$42</c:f>
              <c:numCache>
                <c:formatCode>0.00</c:formatCode>
                <c:ptCount val="41"/>
                <c:pt idx="0">
                  <c:v>0.13</c:v>
                </c:pt>
                <c:pt idx="1">
                  <c:v>0.06</c:v>
                </c:pt>
                <c:pt idx="2">
                  <c:v>0.24</c:v>
                </c:pt>
                <c:pt idx="3">
                  <c:v>0.01</c:v>
                </c:pt>
                <c:pt idx="4">
                  <c:v>0.14000000000000001</c:v>
                </c:pt>
                <c:pt idx="5">
                  <c:v>0.18</c:v>
                </c:pt>
                <c:pt idx="6">
                  <c:v>0.09</c:v>
                </c:pt>
                <c:pt idx="7">
                  <c:v>0.28999999999999998</c:v>
                </c:pt>
                <c:pt idx="8">
                  <c:v>0.12</c:v>
                </c:pt>
                <c:pt idx="9">
                  <c:v>0.23</c:v>
                </c:pt>
                <c:pt idx="10">
                  <c:v>0.06</c:v>
                </c:pt>
                <c:pt idx="11">
                  <c:v>0.05</c:v>
                </c:pt>
                <c:pt idx="12">
                  <c:v>0.25</c:v>
                </c:pt>
                <c:pt idx="13">
                  <c:v>0.15</c:v>
                </c:pt>
                <c:pt idx="14">
                  <c:v>0.26</c:v>
                </c:pt>
                <c:pt idx="15">
                  <c:v>0.22</c:v>
                </c:pt>
                <c:pt idx="16">
                  <c:v>0.19</c:v>
                </c:pt>
                <c:pt idx="17">
                  <c:v>0.26</c:v>
                </c:pt>
                <c:pt idx="18">
                  <c:v>0.12</c:v>
                </c:pt>
                <c:pt idx="19">
                  <c:v>0.28000000000000003</c:v>
                </c:pt>
                <c:pt idx="20">
                  <c:v>0.04</c:v>
                </c:pt>
                <c:pt idx="21">
                  <c:v>0.04</c:v>
                </c:pt>
                <c:pt idx="22">
                  <c:v>0.04</c:v>
                </c:pt>
                <c:pt idx="23">
                  <c:v>0.15</c:v>
                </c:pt>
                <c:pt idx="24">
                  <c:v>0.28000000000000003</c:v>
                </c:pt>
                <c:pt idx="25">
                  <c:v>0.2</c:v>
                </c:pt>
                <c:pt idx="26">
                  <c:v>0.11</c:v>
                </c:pt>
                <c:pt idx="27">
                  <c:v>0.05</c:v>
                </c:pt>
                <c:pt idx="28">
                  <c:v>0.11</c:v>
                </c:pt>
                <c:pt idx="29">
                  <c:v>0.01</c:v>
                </c:pt>
                <c:pt idx="30">
                  <c:v>0.06</c:v>
                </c:pt>
                <c:pt idx="31">
                  <c:v>0.28000000000000003</c:v>
                </c:pt>
                <c:pt idx="32">
                  <c:v>0.13</c:v>
                </c:pt>
                <c:pt idx="33">
                  <c:v>0.16</c:v>
                </c:pt>
                <c:pt idx="34">
                  <c:v>0.22</c:v>
                </c:pt>
                <c:pt idx="35">
                  <c:v>0.26</c:v>
                </c:pt>
                <c:pt idx="36">
                  <c:v>0.23</c:v>
                </c:pt>
                <c:pt idx="37">
                  <c:v>0.21</c:v>
                </c:pt>
                <c:pt idx="38">
                  <c:v>0.01</c:v>
                </c:pt>
                <c:pt idx="39">
                  <c:v>0.01</c:v>
                </c:pt>
                <c:pt idx="40">
                  <c:v>0.06</c:v>
                </c:pt>
              </c:numCache>
            </c:numRef>
          </c:xVal>
          <c:yVal>
            <c:numRef>
              <c:f>Sheet10!$C$25:$C$65</c:f>
              <c:numCache>
                <c:formatCode>General</c:formatCode>
                <c:ptCount val="41"/>
                <c:pt idx="0">
                  <c:v>357.30134317831175</c:v>
                </c:pt>
                <c:pt idx="1">
                  <c:v>-231.32781603115117</c:v>
                </c:pt>
                <c:pt idx="2">
                  <c:v>119.48716479318205</c:v>
                </c:pt>
                <c:pt idx="3">
                  <c:v>-307.90864403791034</c:v>
                </c:pt>
                <c:pt idx="4">
                  <c:v>-287.13449122033637</c:v>
                </c:pt>
                <c:pt idx="5">
                  <c:v>-210.13782881492901</c:v>
                </c:pt>
                <c:pt idx="6">
                  <c:v>180.74468077290442</c:v>
                </c:pt>
                <c:pt idx="7">
                  <c:v>105.9379927999413</c:v>
                </c:pt>
                <c:pt idx="8">
                  <c:v>-243.41282242304007</c:v>
                </c:pt>
                <c:pt idx="9">
                  <c:v>-25.697000808169776</c:v>
                </c:pt>
                <c:pt idx="10">
                  <c:v>-110.04781603115117</c:v>
                </c:pt>
                <c:pt idx="11">
                  <c:v>-23.921981632503048</c:v>
                </c:pt>
                <c:pt idx="12">
                  <c:v>-233.91866960546611</c:v>
                </c:pt>
                <c:pt idx="13">
                  <c:v>118.16967438101545</c:v>
                </c:pt>
                <c:pt idx="14">
                  <c:v>-393.06450400411427</c:v>
                </c:pt>
                <c:pt idx="15">
                  <c:v>112.56883359047839</c:v>
                </c:pt>
                <c:pt idx="16">
                  <c:v>-215.39366321357716</c:v>
                </c:pt>
                <c:pt idx="17">
                  <c:v>16.995495995885733</c:v>
                </c:pt>
                <c:pt idx="18">
                  <c:v>403.74717757695998</c:v>
                </c:pt>
                <c:pt idx="19">
                  <c:v>468.0438271985895</c:v>
                </c:pt>
                <c:pt idx="20">
                  <c:v>-321.9961472338548</c:v>
                </c:pt>
                <c:pt idx="21">
                  <c:v>-453.20614723385484</c:v>
                </c:pt>
                <c:pt idx="22">
                  <c:v>428.41385276614523</c:v>
                </c:pt>
                <c:pt idx="23">
                  <c:v>-331.5803256189846</c:v>
                </c:pt>
                <c:pt idx="24">
                  <c:v>-274.56617280141052</c:v>
                </c:pt>
                <c:pt idx="25">
                  <c:v>144.23050238777472</c:v>
                </c:pt>
                <c:pt idx="26">
                  <c:v>506.62301197560805</c:v>
                </c:pt>
                <c:pt idx="27">
                  <c:v>55.748018367497025</c:v>
                </c:pt>
                <c:pt idx="28">
                  <c:v>320.10301197560807</c:v>
                </c:pt>
                <c:pt idx="29">
                  <c:v>188.86135596208959</c:v>
                </c:pt>
                <c:pt idx="30">
                  <c:v>-94.687816031151158</c:v>
                </c:pt>
                <c:pt idx="31">
                  <c:v>-91.006172801410571</c:v>
                </c:pt>
                <c:pt idx="32">
                  <c:v>179.09134317831183</c:v>
                </c:pt>
                <c:pt idx="33">
                  <c:v>-122.33616001763272</c:v>
                </c:pt>
                <c:pt idx="34">
                  <c:v>131.74883359047834</c:v>
                </c:pt>
                <c:pt idx="35">
                  <c:v>1.7854959958857535</c:v>
                </c:pt>
                <c:pt idx="36">
                  <c:v>202.2229991918303</c:v>
                </c:pt>
                <c:pt idx="37">
                  <c:v>-100.55533201087349</c:v>
                </c:pt>
                <c:pt idx="38">
                  <c:v>397.74135596208959</c:v>
                </c:pt>
                <c:pt idx="39">
                  <c:v>46.101355962089599</c:v>
                </c:pt>
                <c:pt idx="40">
                  <c:v>-413.76781603115114</c:v>
                </c:pt>
              </c:numCache>
            </c:numRef>
          </c:yVal>
          <c:smooth val="0"/>
          <c:extLst>
            <c:ext xmlns:c16="http://schemas.microsoft.com/office/drawing/2014/chart" uri="{C3380CC4-5D6E-409C-BE32-E72D297353CC}">
              <c16:uniqueId val="{00000004-EDCC-49F8-9C2E-C04632BA7105}"/>
            </c:ext>
          </c:extLst>
        </c:ser>
        <c:dLbls>
          <c:showLegendKey val="0"/>
          <c:showVal val="0"/>
          <c:showCatName val="0"/>
          <c:showSerName val="0"/>
          <c:showPercent val="0"/>
          <c:showBubbleSize val="0"/>
        </c:dLbls>
        <c:axId val="1266810976"/>
        <c:axId val="1266815296"/>
      </c:scatterChart>
      <c:valAx>
        <c:axId val="1266810976"/>
        <c:scaling>
          <c:orientation val="minMax"/>
        </c:scaling>
        <c:delete val="0"/>
        <c:axPos val="b"/>
        <c:title>
          <c:tx>
            <c:rich>
              <a:bodyPr/>
              <a:lstStyle/>
              <a:p>
                <a:pPr>
                  <a:defRPr/>
                </a:pPr>
                <a:r>
                  <a:rPr lang="en-IN"/>
                  <a:t>X Variable 1</a:t>
                </a:r>
              </a:p>
            </c:rich>
          </c:tx>
          <c:overlay val="0"/>
        </c:title>
        <c:numFmt formatCode="0.00" sourceLinked="1"/>
        <c:majorTickMark val="out"/>
        <c:minorTickMark val="none"/>
        <c:tickLblPos val="nextTo"/>
        <c:crossAx val="1266815296"/>
        <c:crosses val="autoZero"/>
        <c:crossBetween val="midCat"/>
      </c:valAx>
      <c:valAx>
        <c:axId val="1266815296"/>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12668109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Line Fit  Plot</a:t>
            </a:r>
          </a:p>
        </c:rich>
      </c:tx>
      <c:overlay val="0"/>
    </c:title>
    <c:autoTitleDeleted val="0"/>
    <c:plotArea>
      <c:layout/>
      <c:scatterChart>
        <c:scatterStyle val="lineMarker"/>
        <c:varyColors val="0"/>
        <c:ser>
          <c:idx val="0"/>
          <c:order val="0"/>
          <c:tx>
            <c:v>Y</c:v>
          </c:tx>
          <c:spPr>
            <a:ln w="19050">
              <a:noFill/>
            </a:ln>
          </c:spPr>
          <c:xVal>
            <c:numRef>
              <c:f>Sheet1!$G$2:$G$42</c:f>
              <c:numCache>
                <c:formatCode>0.00</c:formatCode>
                <c:ptCount val="41"/>
                <c:pt idx="0">
                  <c:v>0.13</c:v>
                </c:pt>
                <c:pt idx="1">
                  <c:v>0.06</c:v>
                </c:pt>
                <c:pt idx="2">
                  <c:v>0.24</c:v>
                </c:pt>
                <c:pt idx="3">
                  <c:v>0.01</c:v>
                </c:pt>
                <c:pt idx="4">
                  <c:v>0.14000000000000001</c:v>
                </c:pt>
                <c:pt idx="5">
                  <c:v>0.18</c:v>
                </c:pt>
                <c:pt idx="6">
                  <c:v>0.09</c:v>
                </c:pt>
                <c:pt idx="7">
                  <c:v>0.28999999999999998</c:v>
                </c:pt>
                <c:pt idx="8">
                  <c:v>0.12</c:v>
                </c:pt>
                <c:pt idx="9">
                  <c:v>0.23</c:v>
                </c:pt>
                <c:pt idx="10">
                  <c:v>0.06</c:v>
                </c:pt>
                <c:pt idx="11">
                  <c:v>0.05</c:v>
                </c:pt>
                <c:pt idx="12">
                  <c:v>0.25</c:v>
                </c:pt>
                <c:pt idx="13">
                  <c:v>0.15</c:v>
                </c:pt>
                <c:pt idx="14">
                  <c:v>0.26</c:v>
                </c:pt>
                <c:pt idx="15">
                  <c:v>0.22</c:v>
                </c:pt>
                <c:pt idx="16">
                  <c:v>0.19</c:v>
                </c:pt>
                <c:pt idx="17">
                  <c:v>0.26</c:v>
                </c:pt>
                <c:pt idx="18">
                  <c:v>0.12</c:v>
                </c:pt>
                <c:pt idx="19">
                  <c:v>0.28000000000000003</c:v>
                </c:pt>
                <c:pt idx="20">
                  <c:v>0.04</c:v>
                </c:pt>
                <c:pt idx="21">
                  <c:v>0.04</c:v>
                </c:pt>
                <c:pt idx="22">
                  <c:v>0.04</c:v>
                </c:pt>
                <c:pt idx="23">
                  <c:v>0.15</c:v>
                </c:pt>
                <c:pt idx="24">
                  <c:v>0.28000000000000003</c:v>
                </c:pt>
                <c:pt idx="25">
                  <c:v>0.2</c:v>
                </c:pt>
                <c:pt idx="26">
                  <c:v>0.11</c:v>
                </c:pt>
                <c:pt idx="27">
                  <c:v>0.05</c:v>
                </c:pt>
                <c:pt idx="28">
                  <c:v>0.11</c:v>
                </c:pt>
                <c:pt idx="29">
                  <c:v>0.01</c:v>
                </c:pt>
                <c:pt idx="30">
                  <c:v>0.06</c:v>
                </c:pt>
                <c:pt idx="31">
                  <c:v>0.28000000000000003</c:v>
                </c:pt>
                <c:pt idx="32">
                  <c:v>0.13</c:v>
                </c:pt>
                <c:pt idx="33">
                  <c:v>0.16</c:v>
                </c:pt>
                <c:pt idx="34">
                  <c:v>0.22</c:v>
                </c:pt>
                <c:pt idx="35">
                  <c:v>0.26</c:v>
                </c:pt>
                <c:pt idx="36">
                  <c:v>0.23</c:v>
                </c:pt>
                <c:pt idx="37">
                  <c:v>0.21</c:v>
                </c:pt>
                <c:pt idx="38">
                  <c:v>0.01</c:v>
                </c:pt>
                <c:pt idx="39">
                  <c:v>0.01</c:v>
                </c:pt>
                <c:pt idx="40">
                  <c:v>0.06</c:v>
                </c:pt>
              </c:numCache>
            </c:numRef>
          </c:xVal>
          <c:yVal>
            <c:numRef>
              <c:f>Sheet1!$F$2:$F$42</c:f>
              <c:numCache>
                <c:formatCode>0.00</c:formatCode>
                <c:ptCount val="41"/>
                <c:pt idx="0">
                  <c:v>801.66</c:v>
                </c:pt>
                <c:pt idx="1">
                  <c:v>225.03</c:v>
                </c:pt>
                <c:pt idx="2">
                  <c:v>544.99</c:v>
                </c:pt>
                <c:pt idx="3">
                  <c:v>157.02000000000001</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144.08000000000001</c:v>
                </c:pt>
                <c:pt idx="25">
                  <c:v>576.59</c:v>
                </c:pt>
                <c:pt idx="26">
                  <c:v>954.41</c:v>
                </c:pt>
                <c:pt idx="27">
                  <c:v>513.82000000000005</c:v>
                </c:pt>
                <c:pt idx="28">
                  <c:v>767.89</c:v>
                </c:pt>
                <c:pt idx="29">
                  <c:v>653.79</c:v>
                </c:pt>
                <c:pt idx="30">
                  <c:v>361.67</c:v>
                </c:pt>
                <c:pt idx="31">
                  <c:v>327.64</c:v>
                </c:pt>
                <c:pt idx="32">
                  <c:v>623.45000000000005</c:v>
                </c:pt>
                <c:pt idx="33">
                  <c:v>316.88</c:v>
                </c:pt>
                <c:pt idx="34">
                  <c:v>560.67999999999995</c:v>
                </c:pt>
                <c:pt idx="35">
                  <c:v>423.86</c:v>
                </c:pt>
                <c:pt idx="36">
                  <c:v>629.44000000000005</c:v>
                </c:pt>
                <c:pt idx="37">
                  <c:v>330.09</c:v>
                </c:pt>
                <c:pt idx="38">
                  <c:v>862.67</c:v>
                </c:pt>
                <c:pt idx="39">
                  <c:v>511.03</c:v>
                </c:pt>
                <c:pt idx="40">
                  <c:v>42.59</c:v>
                </c:pt>
              </c:numCache>
            </c:numRef>
          </c:yVal>
          <c:smooth val="0"/>
          <c:extLst>
            <c:ext xmlns:c16="http://schemas.microsoft.com/office/drawing/2014/chart" uri="{C3380CC4-5D6E-409C-BE32-E72D297353CC}">
              <c16:uniqueId val="{00000004-2EE5-417B-A305-E52141B9AF8A}"/>
            </c:ext>
          </c:extLst>
        </c:ser>
        <c:ser>
          <c:idx val="1"/>
          <c:order val="1"/>
          <c:tx>
            <c:v>Predicted Y</c:v>
          </c:tx>
          <c:spPr>
            <a:ln w="19050">
              <a:noFill/>
            </a:ln>
          </c:spPr>
          <c:xVal>
            <c:numRef>
              <c:f>Sheet1!$G$2:$G$42</c:f>
              <c:numCache>
                <c:formatCode>0.00</c:formatCode>
                <c:ptCount val="41"/>
                <c:pt idx="0">
                  <c:v>0.13</c:v>
                </c:pt>
                <c:pt idx="1">
                  <c:v>0.06</c:v>
                </c:pt>
                <c:pt idx="2">
                  <c:v>0.24</c:v>
                </c:pt>
                <c:pt idx="3">
                  <c:v>0.01</c:v>
                </c:pt>
                <c:pt idx="4">
                  <c:v>0.14000000000000001</c:v>
                </c:pt>
                <c:pt idx="5">
                  <c:v>0.18</c:v>
                </c:pt>
                <c:pt idx="6">
                  <c:v>0.09</c:v>
                </c:pt>
                <c:pt idx="7">
                  <c:v>0.28999999999999998</c:v>
                </c:pt>
                <c:pt idx="8">
                  <c:v>0.12</c:v>
                </c:pt>
                <c:pt idx="9">
                  <c:v>0.23</c:v>
                </c:pt>
                <c:pt idx="10">
                  <c:v>0.06</c:v>
                </c:pt>
                <c:pt idx="11">
                  <c:v>0.05</c:v>
                </c:pt>
                <c:pt idx="12">
                  <c:v>0.25</c:v>
                </c:pt>
                <c:pt idx="13">
                  <c:v>0.15</c:v>
                </c:pt>
                <c:pt idx="14">
                  <c:v>0.26</c:v>
                </c:pt>
                <c:pt idx="15">
                  <c:v>0.22</c:v>
                </c:pt>
                <c:pt idx="16">
                  <c:v>0.19</c:v>
                </c:pt>
                <c:pt idx="17">
                  <c:v>0.26</c:v>
                </c:pt>
                <c:pt idx="18">
                  <c:v>0.12</c:v>
                </c:pt>
                <c:pt idx="19">
                  <c:v>0.28000000000000003</c:v>
                </c:pt>
                <c:pt idx="20">
                  <c:v>0.04</c:v>
                </c:pt>
                <c:pt idx="21">
                  <c:v>0.04</c:v>
                </c:pt>
                <c:pt idx="22">
                  <c:v>0.04</c:v>
                </c:pt>
                <c:pt idx="23">
                  <c:v>0.15</c:v>
                </c:pt>
                <c:pt idx="24">
                  <c:v>0.28000000000000003</c:v>
                </c:pt>
                <c:pt idx="25">
                  <c:v>0.2</c:v>
                </c:pt>
                <c:pt idx="26">
                  <c:v>0.11</c:v>
                </c:pt>
                <c:pt idx="27">
                  <c:v>0.05</c:v>
                </c:pt>
                <c:pt idx="28">
                  <c:v>0.11</c:v>
                </c:pt>
                <c:pt idx="29">
                  <c:v>0.01</c:v>
                </c:pt>
                <c:pt idx="30">
                  <c:v>0.06</c:v>
                </c:pt>
                <c:pt idx="31">
                  <c:v>0.28000000000000003</c:v>
                </c:pt>
                <c:pt idx="32">
                  <c:v>0.13</c:v>
                </c:pt>
                <c:pt idx="33">
                  <c:v>0.16</c:v>
                </c:pt>
                <c:pt idx="34">
                  <c:v>0.22</c:v>
                </c:pt>
                <c:pt idx="35">
                  <c:v>0.26</c:v>
                </c:pt>
                <c:pt idx="36">
                  <c:v>0.23</c:v>
                </c:pt>
                <c:pt idx="37">
                  <c:v>0.21</c:v>
                </c:pt>
                <c:pt idx="38">
                  <c:v>0.01</c:v>
                </c:pt>
                <c:pt idx="39">
                  <c:v>0.01</c:v>
                </c:pt>
                <c:pt idx="40">
                  <c:v>0.06</c:v>
                </c:pt>
              </c:numCache>
            </c:numRef>
          </c:xVal>
          <c:yVal>
            <c:numRef>
              <c:f>Sheet10!$B$25:$B$65</c:f>
              <c:numCache>
                <c:formatCode>General</c:formatCode>
                <c:ptCount val="41"/>
                <c:pt idx="0">
                  <c:v>444.35865682168821</c:v>
                </c:pt>
                <c:pt idx="1">
                  <c:v>456.35781603115117</c:v>
                </c:pt>
                <c:pt idx="2">
                  <c:v>425.50283520681796</c:v>
                </c:pt>
                <c:pt idx="3">
                  <c:v>464.92864403791037</c:v>
                </c:pt>
                <c:pt idx="4">
                  <c:v>442.64449122033636</c:v>
                </c:pt>
                <c:pt idx="5">
                  <c:v>435.78782881492901</c:v>
                </c:pt>
                <c:pt idx="6">
                  <c:v>451.21531922709562</c:v>
                </c:pt>
                <c:pt idx="7">
                  <c:v>416.93200720005871</c:v>
                </c:pt>
                <c:pt idx="8">
                  <c:v>446.07282242304007</c:v>
                </c:pt>
                <c:pt idx="9">
                  <c:v>427.21700080816976</c:v>
                </c:pt>
                <c:pt idx="10">
                  <c:v>456.35781603115117</c:v>
                </c:pt>
                <c:pt idx="11">
                  <c:v>458.07198163250303</c:v>
                </c:pt>
                <c:pt idx="12">
                  <c:v>423.78866960546611</c:v>
                </c:pt>
                <c:pt idx="13">
                  <c:v>440.93032561898457</c:v>
                </c:pt>
                <c:pt idx="14">
                  <c:v>422.07450400411426</c:v>
                </c:pt>
                <c:pt idx="15">
                  <c:v>428.93116640952161</c:v>
                </c:pt>
                <c:pt idx="16">
                  <c:v>434.07366321357716</c:v>
                </c:pt>
                <c:pt idx="17">
                  <c:v>422.07450400411426</c:v>
                </c:pt>
                <c:pt idx="18">
                  <c:v>446.07282242304007</c:v>
                </c:pt>
                <c:pt idx="19">
                  <c:v>418.64617280141056</c:v>
                </c:pt>
                <c:pt idx="20">
                  <c:v>459.78614723385482</c:v>
                </c:pt>
                <c:pt idx="21">
                  <c:v>459.78614723385482</c:v>
                </c:pt>
                <c:pt idx="22">
                  <c:v>459.78614723385482</c:v>
                </c:pt>
                <c:pt idx="23">
                  <c:v>440.93032561898457</c:v>
                </c:pt>
                <c:pt idx="24">
                  <c:v>418.64617280141056</c:v>
                </c:pt>
                <c:pt idx="25">
                  <c:v>432.35949761222531</c:v>
                </c:pt>
                <c:pt idx="26">
                  <c:v>447.78698802439192</c:v>
                </c:pt>
                <c:pt idx="27">
                  <c:v>458.07198163250303</c:v>
                </c:pt>
                <c:pt idx="28">
                  <c:v>447.78698802439192</c:v>
                </c:pt>
                <c:pt idx="29">
                  <c:v>464.92864403791037</c:v>
                </c:pt>
                <c:pt idx="30">
                  <c:v>456.35781603115117</c:v>
                </c:pt>
                <c:pt idx="31">
                  <c:v>418.64617280141056</c:v>
                </c:pt>
                <c:pt idx="32">
                  <c:v>444.35865682168821</c:v>
                </c:pt>
                <c:pt idx="33">
                  <c:v>439.21616001763272</c:v>
                </c:pt>
                <c:pt idx="34">
                  <c:v>428.93116640952161</c:v>
                </c:pt>
                <c:pt idx="35">
                  <c:v>422.07450400411426</c:v>
                </c:pt>
                <c:pt idx="36">
                  <c:v>427.21700080816976</c:v>
                </c:pt>
                <c:pt idx="37">
                  <c:v>430.64533201087346</c:v>
                </c:pt>
                <c:pt idx="38">
                  <c:v>464.92864403791037</c:v>
                </c:pt>
                <c:pt idx="39">
                  <c:v>464.92864403791037</c:v>
                </c:pt>
                <c:pt idx="40">
                  <c:v>456.35781603115117</c:v>
                </c:pt>
              </c:numCache>
            </c:numRef>
          </c:yVal>
          <c:smooth val="0"/>
          <c:extLst>
            <c:ext xmlns:c16="http://schemas.microsoft.com/office/drawing/2014/chart" uri="{C3380CC4-5D6E-409C-BE32-E72D297353CC}">
              <c16:uniqueId val="{00000005-2EE5-417B-A305-E52141B9AF8A}"/>
            </c:ext>
          </c:extLst>
        </c:ser>
        <c:dLbls>
          <c:showLegendKey val="0"/>
          <c:showVal val="0"/>
          <c:showCatName val="0"/>
          <c:showSerName val="0"/>
          <c:showPercent val="0"/>
          <c:showBubbleSize val="0"/>
        </c:dLbls>
        <c:axId val="968191744"/>
        <c:axId val="1212477936"/>
      </c:scatterChart>
      <c:valAx>
        <c:axId val="968191744"/>
        <c:scaling>
          <c:orientation val="minMax"/>
        </c:scaling>
        <c:delete val="0"/>
        <c:axPos val="b"/>
        <c:title>
          <c:tx>
            <c:rich>
              <a:bodyPr/>
              <a:lstStyle/>
              <a:p>
                <a:pPr>
                  <a:defRPr/>
                </a:pPr>
                <a:r>
                  <a:rPr lang="en-IN"/>
                  <a:t>X Variable 1</a:t>
                </a:r>
              </a:p>
            </c:rich>
          </c:tx>
          <c:overlay val="0"/>
        </c:title>
        <c:numFmt formatCode="0.00" sourceLinked="1"/>
        <c:majorTickMark val="out"/>
        <c:minorTickMark val="none"/>
        <c:tickLblPos val="nextTo"/>
        <c:crossAx val="1212477936"/>
        <c:crosses val="autoZero"/>
        <c:crossBetween val="midCat"/>
      </c:valAx>
      <c:valAx>
        <c:axId val="1212477936"/>
        <c:scaling>
          <c:orientation val="minMax"/>
        </c:scaling>
        <c:delete val="0"/>
        <c:axPos val="l"/>
        <c:title>
          <c:tx>
            <c:rich>
              <a:bodyPr/>
              <a:lstStyle/>
              <a:p>
                <a:pPr>
                  <a:defRPr/>
                </a:pPr>
                <a:r>
                  <a:rPr lang="en-IN"/>
                  <a:t>Y</a:t>
                </a:r>
              </a:p>
            </c:rich>
          </c:tx>
          <c:overlay val="0"/>
        </c:title>
        <c:numFmt formatCode="0.00" sourceLinked="1"/>
        <c:majorTickMark val="out"/>
        <c:minorTickMark val="none"/>
        <c:tickLblPos val="nextTo"/>
        <c:crossAx val="96819174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19050">
              <a:noFill/>
            </a:ln>
          </c:spPr>
          <c:xVal>
            <c:numRef>
              <c:f>Sheet10!$F$25:$F$65</c:f>
              <c:numCache>
                <c:formatCode>General</c:formatCode>
                <c:ptCount val="41"/>
                <c:pt idx="0">
                  <c:v>1.2195121951219512</c:v>
                </c:pt>
                <c:pt idx="1">
                  <c:v>3.6585365853658534</c:v>
                </c:pt>
                <c:pt idx="2">
                  <c:v>6.0975609756097562</c:v>
                </c:pt>
                <c:pt idx="3">
                  <c:v>8.5365853658536572</c:v>
                </c:pt>
                <c:pt idx="4">
                  <c:v>10.97560975609756</c:v>
                </c:pt>
                <c:pt idx="5">
                  <c:v>13.414634146341463</c:v>
                </c:pt>
                <c:pt idx="6">
                  <c:v>15.853658536585364</c:v>
                </c:pt>
                <c:pt idx="7">
                  <c:v>18.292682926829269</c:v>
                </c:pt>
                <c:pt idx="8">
                  <c:v>20.73170731707317</c:v>
                </c:pt>
                <c:pt idx="9">
                  <c:v>23.170731707317071</c:v>
                </c:pt>
                <c:pt idx="10">
                  <c:v>25.609756097560975</c:v>
                </c:pt>
                <c:pt idx="11">
                  <c:v>28.048780487804876</c:v>
                </c:pt>
                <c:pt idx="12">
                  <c:v>30.487804878048777</c:v>
                </c:pt>
                <c:pt idx="13">
                  <c:v>32.926829268292686</c:v>
                </c:pt>
                <c:pt idx="14">
                  <c:v>35.365853658536587</c:v>
                </c:pt>
                <c:pt idx="15">
                  <c:v>37.804878048780488</c:v>
                </c:pt>
                <c:pt idx="16">
                  <c:v>40.243902439024389</c:v>
                </c:pt>
                <c:pt idx="17">
                  <c:v>42.68292682926829</c:v>
                </c:pt>
                <c:pt idx="18">
                  <c:v>45.121951219512191</c:v>
                </c:pt>
                <c:pt idx="19">
                  <c:v>47.560975609756099</c:v>
                </c:pt>
                <c:pt idx="20">
                  <c:v>50</c:v>
                </c:pt>
                <c:pt idx="21">
                  <c:v>52.439024390243901</c:v>
                </c:pt>
                <c:pt idx="22">
                  <c:v>54.878048780487802</c:v>
                </c:pt>
                <c:pt idx="23">
                  <c:v>57.317073170731703</c:v>
                </c:pt>
                <c:pt idx="24">
                  <c:v>59.756097560975604</c:v>
                </c:pt>
                <c:pt idx="25">
                  <c:v>62.195121951219512</c:v>
                </c:pt>
                <c:pt idx="26">
                  <c:v>64.634146341463421</c:v>
                </c:pt>
                <c:pt idx="27">
                  <c:v>67.073170731707322</c:v>
                </c:pt>
                <c:pt idx="28">
                  <c:v>69.512195121951223</c:v>
                </c:pt>
                <c:pt idx="29">
                  <c:v>71.951219512195124</c:v>
                </c:pt>
                <c:pt idx="30">
                  <c:v>74.390243902439025</c:v>
                </c:pt>
                <c:pt idx="31">
                  <c:v>76.829268292682926</c:v>
                </c:pt>
                <c:pt idx="32">
                  <c:v>79.268292682926827</c:v>
                </c:pt>
                <c:pt idx="33">
                  <c:v>81.707317073170728</c:v>
                </c:pt>
                <c:pt idx="34">
                  <c:v>84.146341463414629</c:v>
                </c:pt>
                <c:pt idx="35">
                  <c:v>86.58536585365853</c:v>
                </c:pt>
                <c:pt idx="36">
                  <c:v>89.024390243902431</c:v>
                </c:pt>
                <c:pt idx="37">
                  <c:v>91.463414634146332</c:v>
                </c:pt>
                <c:pt idx="38">
                  <c:v>93.902439024390247</c:v>
                </c:pt>
                <c:pt idx="39">
                  <c:v>96.341463414634148</c:v>
                </c:pt>
                <c:pt idx="40">
                  <c:v>98.780487804878049</c:v>
                </c:pt>
              </c:numCache>
            </c:numRef>
          </c:xVal>
          <c:yVal>
            <c:numRef>
              <c:f>Sheet10!$G$25:$G$65</c:f>
              <c:numCache>
                <c:formatCode>General</c:formatCode>
                <c:ptCount val="41"/>
                <c:pt idx="0">
                  <c:v>6.58</c:v>
                </c:pt>
                <c:pt idx="1">
                  <c:v>29.01</c:v>
                </c:pt>
                <c:pt idx="2">
                  <c:v>42.59</c:v>
                </c:pt>
                <c:pt idx="3">
                  <c:v>109.35</c:v>
                </c:pt>
                <c:pt idx="4">
                  <c:v>137.79</c:v>
                </c:pt>
                <c:pt idx="5">
                  <c:v>144.08000000000001</c:v>
                </c:pt>
                <c:pt idx="6">
                  <c:v>155.51</c:v>
                </c:pt>
                <c:pt idx="7">
                  <c:v>157.02000000000001</c:v>
                </c:pt>
                <c:pt idx="8">
                  <c:v>189.87</c:v>
                </c:pt>
                <c:pt idx="9">
                  <c:v>202.66</c:v>
                </c:pt>
                <c:pt idx="10">
                  <c:v>218.68</c:v>
                </c:pt>
                <c:pt idx="11">
                  <c:v>225.03</c:v>
                </c:pt>
                <c:pt idx="12">
                  <c:v>225.65</c:v>
                </c:pt>
                <c:pt idx="13">
                  <c:v>316.88</c:v>
                </c:pt>
                <c:pt idx="14">
                  <c:v>327.64</c:v>
                </c:pt>
                <c:pt idx="15">
                  <c:v>330.09</c:v>
                </c:pt>
                <c:pt idx="16">
                  <c:v>346.31</c:v>
                </c:pt>
                <c:pt idx="17">
                  <c:v>361.67</c:v>
                </c:pt>
                <c:pt idx="18">
                  <c:v>401.52</c:v>
                </c:pt>
                <c:pt idx="19">
                  <c:v>423.86</c:v>
                </c:pt>
                <c:pt idx="20">
                  <c:v>434.15</c:v>
                </c:pt>
                <c:pt idx="21">
                  <c:v>439.07</c:v>
                </c:pt>
                <c:pt idx="22">
                  <c:v>511.03</c:v>
                </c:pt>
                <c:pt idx="23">
                  <c:v>513.82000000000005</c:v>
                </c:pt>
                <c:pt idx="24">
                  <c:v>522.87</c:v>
                </c:pt>
                <c:pt idx="25">
                  <c:v>541.5</c:v>
                </c:pt>
                <c:pt idx="26">
                  <c:v>544.99</c:v>
                </c:pt>
                <c:pt idx="27">
                  <c:v>559.1</c:v>
                </c:pt>
                <c:pt idx="28">
                  <c:v>560.67999999999995</c:v>
                </c:pt>
                <c:pt idx="29">
                  <c:v>576.59</c:v>
                </c:pt>
                <c:pt idx="30">
                  <c:v>623.45000000000005</c:v>
                </c:pt>
                <c:pt idx="31">
                  <c:v>629.44000000000005</c:v>
                </c:pt>
                <c:pt idx="32">
                  <c:v>631.96</c:v>
                </c:pt>
                <c:pt idx="33">
                  <c:v>653.79</c:v>
                </c:pt>
                <c:pt idx="34">
                  <c:v>767.89</c:v>
                </c:pt>
                <c:pt idx="35">
                  <c:v>801.66</c:v>
                </c:pt>
                <c:pt idx="36">
                  <c:v>849.82</c:v>
                </c:pt>
                <c:pt idx="37">
                  <c:v>862.67</c:v>
                </c:pt>
                <c:pt idx="38">
                  <c:v>886.69</c:v>
                </c:pt>
                <c:pt idx="39">
                  <c:v>888.2</c:v>
                </c:pt>
                <c:pt idx="40">
                  <c:v>954.41</c:v>
                </c:pt>
              </c:numCache>
            </c:numRef>
          </c:yVal>
          <c:smooth val="0"/>
          <c:extLst>
            <c:ext xmlns:c16="http://schemas.microsoft.com/office/drawing/2014/chart" uri="{C3380CC4-5D6E-409C-BE32-E72D297353CC}">
              <c16:uniqueId val="{00000001-89B4-4478-8933-1D27D9EECE63}"/>
            </c:ext>
          </c:extLst>
        </c:ser>
        <c:dLbls>
          <c:showLegendKey val="0"/>
          <c:showVal val="0"/>
          <c:showCatName val="0"/>
          <c:showSerName val="0"/>
          <c:showPercent val="0"/>
          <c:showBubbleSize val="0"/>
        </c:dLbls>
        <c:axId val="1631377952"/>
        <c:axId val="1631385152"/>
      </c:scatterChart>
      <c:valAx>
        <c:axId val="1631377952"/>
        <c:scaling>
          <c:orientation val="minMax"/>
        </c:scaling>
        <c:delete val="0"/>
        <c:axPos val="b"/>
        <c:title>
          <c:tx>
            <c:rich>
              <a:bodyPr/>
              <a:lstStyle/>
              <a:p>
                <a:pPr>
                  <a:defRPr/>
                </a:pPr>
                <a:r>
                  <a:rPr lang="en-IN"/>
                  <a:t>Sample Percentile</a:t>
                </a:r>
              </a:p>
            </c:rich>
          </c:tx>
          <c:overlay val="0"/>
        </c:title>
        <c:numFmt formatCode="General" sourceLinked="1"/>
        <c:majorTickMark val="out"/>
        <c:minorTickMark val="none"/>
        <c:tickLblPos val="nextTo"/>
        <c:crossAx val="1631385152"/>
        <c:crosses val="autoZero"/>
        <c:crossBetween val="midCat"/>
      </c:valAx>
      <c:valAx>
        <c:axId val="1631385152"/>
        <c:scaling>
          <c:orientation val="minMax"/>
        </c:scaling>
        <c:delete val="0"/>
        <c:axPos val="l"/>
        <c:title>
          <c:tx>
            <c:rich>
              <a:bodyPr/>
              <a:lstStyle/>
              <a:p>
                <a:pPr>
                  <a:defRPr/>
                </a:pPr>
                <a:r>
                  <a:rPr lang="en-IN"/>
                  <a:t>Y</a:t>
                </a:r>
              </a:p>
            </c:rich>
          </c:tx>
          <c:overlay val="0"/>
        </c:title>
        <c:numFmt formatCode="General" sourceLinked="1"/>
        <c:majorTickMark val="out"/>
        <c:minorTickMark val="none"/>
        <c:tickLblPos val="nextTo"/>
        <c:crossAx val="16313779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analysis.xlsx]Sheet12!PivotTable5</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170304424536"/>
          <c:y val="6.4708377871182859E-2"/>
          <c:w val="0.43487733866995842"/>
          <c:h val="0.93529162212881711"/>
        </c:manualLayout>
      </c:layout>
      <c:doughnutChart>
        <c:varyColors val="1"/>
        <c:ser>
          <c:idx val="0"/>
          <c:order val="0"/>
          <c:tx>
            <c:strRef>
              <c:f>Sheet12!$B$3:$B$5</c:f>
              <c:strCache>
                <c:ptCount val="1"/>
                <c:pt idx="0">
                  <c:v>Bank Transfer - Sum of 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Sheet12!$A$6:$A$11</c:f>
              <c:strCache>
                <c:ptCount val="5"/>
                <c:pt idx="0">
                  <c:v>Beauty</c:v>
                </c:pt>
                <c:pt idx="1">
                  <c:v>Books</c:v>
                </c:pt>
                <c:pt idx="2">
                  <c:v>Electronics</c:v>
                </c:pt>
                <c:pt idx="3">
                  <c:v>Sports</c:v>
                </c:pt>
                <c:pt idx="4">
                  <c:v>Toys</c:v>
                </c:pt>
              </c:strCache>
            </c:strRef>
          </c:cat>
          <c:val>
            <c:numRef>
              <c:f>Sheet12!$B$6:$B$11</c:f>
              <c:numCache>
                <c:formatCode>General</c:formatCode>
                <c:ptCount val="5"/>
                <c:pt idx="0">
                  <c:v>157.02000000000001</c:v>
                </c:pt>
                <c:pt idx="1">
                  <c:v>786.33</c:v>
                </c:pt>
                <c:pt idx="2">
                  <c:v>316.88</c:v>
                </c:pt>
                <c:pt idx="3">
                  <c:v>1010.74</c:v>
                </c:pt>
                <c:pt idx="4">
                  <c:v>541.5</c:v>
                </c:pt>
              </c:numCache>
            </c:numRef>
          </c:val>
          <c:extLst>
            <c:ext xmlns:c16="http://schemas.microsoft.com/office/drawing/2014/chart" uri="{C3380CC4-5D6E-409C-BE32-E72D297353CC}">
              <c16:uniqueId val="{00000000-F8C5-4EC4-B10A-D52121DD4980}"/>
            </c:ext>
          </c:extLst>
        </c:ser>
        <c:ser>
          <c:idx val="1"/>
          <c:order val="1"/>
          <c:tx>
            <c:strRef>
              <c:f>Sheet12!$C$3:$C$5</c:f>
              <c:strCache>
                <c:ptCount val="1"/>
                <c:pt idx="0">
                  <c:v>Bank Transfer - 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Sheet12!$A$6:$A$11</c:f>
              <c:strCache>
                <c:ptCount val="5"/>
                <c:pt idx="0">
                  <c:v>Beauty</c:v>
                </c:pt>
                <c:pt idx="1">
                  <c:v>Books</c:v>
                </c:pt>
                <c:pt idx="2">
                  <c:v>Electronics</c:v>
                </c:pt>
                <c:pt idx="3">
                  <c:v>Sports</c:v>
                </c:pt>
                <c:pt idx="4">
                  <c:v>Toys</c:v>
                </c:pt>
              </c:strCache>
            </c:strRef>
          </c:cat>
          <c:val>
            <c:numRef>
              <c:f>Sheet12!$C$6:$C$11</c:f>
              <c:numCache>
                <c:formatCode>General</c:formatCode>
                <c:ptCount val="5"/>
                <c:pt idx="0">
                  <c:v>2</c:v>
                </c:pt>
                <c:pt idx="1">
                  <c:v>4</c:v>
                </c:pt>
                <c:pt idx="2">
                  <c:v>3</c:v>
                </c:pt>
                <c:pt idx="3">
                  <c:v>5</c:v>
                </c:pt>
                <c:pt idx="4">
                  <c:v>2</c:v>
                </c:pt>
              </c:numCache>
            </c:numRef>
          </c:val>
          <c:extLst>
            <c:ext xmlns:c16="http://schemas.microsoft.com/office/drawing/2014/chart" uri="{C3380CC4-5D6E-409C-BE32-E72D297353CC}">
              <c16:uniqueId val="{00000001-F8C5-4EC4-B10A-D52121DD49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analysis.xlsx]Sheet13!PivotTable6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Sheet13!$A$4:$A$16</c:f>
              <c:multiLvlStrCache>
                <c:ptCount val="8"/>
                <c:lvl>
                  <c:pt idx="0">
                    <c:v>Female</c:v>
                  </c:pt>
                  <c:pt idx="1">
                    <c:v>Male</c:v>
                  </c:pt>
                  <c:pt idx="2">
                    <c:v>Female</c:v>
                  </c:pt>
                  <c:pt idx="3">
                    <c:v>Male</c:v>
                  </c:pt>
                  <c:pt idx="4">
                    <c:v>Female</c:v>
                  </c:pt>
                  <c:pt idx="5">
                    <c:v>Male</c:v>
                  </c:pt>
                  <c:pt idx="6">
                    <c:v>Female</c:v>
                  </c:pt>
                  <c:pt idx="7">
                    <c:v>Male</c:v>
                  </c:pt>
                </c:lvl>
                <c:lvl>
                  <c:pt idx="0">
                    <c:v>East</c:v>
                  </c:pt>
                  <c:pt idx="2">
                    <c:v>North</c:v>
                  </c:pt>
                  <c:pt idx="4">
                    <c:v>South</c:v>
                  </c:pt>
                  <c:pt idx="6">
                    <c:v>West</c:v>
                  </c:pt>
                </c:lvl>
              </c:multiLvlStrCache>
            </c:multiLvlStrRef>
          </c:cat>
          <c:val>
            <c:numRef>
              <c:f>Sheet13!$B$4:$B$16</c:f>
              <c:numCache>
                <c:formatCode>General</c:formatCode>
                <c:ptCount val="8"/>
                <c:pt idx="0">
                  <c:v>19495.34087878725</c:v>
                </c:pt>
                <c:pt idx="1">
                  <c:v>7680.7997038154426</c:v>
                </c:pt>
                <c:pt idx="3">
                  <c:v>19946.114204991081</c:v>
                </c:pt>
                <c:pt idx="4">
                  <c:v>10269.209911115529</c:v>
                </c:pt>
                <c:pt idx="5">
                  <c:v>19769.380600280034</c:v>
                </c:pt>
                <c:pt idx="6">
                  <c:v>17935.131268330395</c:v>
                </c:pt>
                <c:pt idx="7">
                  <c:v>17193.635706863992</c:v>
                </c:pt>
              </c:numCache>
            </c:numRef>
          </c:val>
          <c:extLst>
            <c:ext xmlns:c16="http://schemas.microsoft.com/office/drawing/2014/chart" uri="{C3380CC4-5D6E-409C-BE32-E72D297353CC}">
              <c16:uniqueId val="{00000000-9490-4275-AC53-61F6212DA6BA}"/>
            </c:ext>
          </c:extLst>
        </c:ser>
        <c:ser>
          <c:idx val="1"/>
          <c:order val="1"/>
          <c:tx>
            <c:strRef>
              <c:f>Sheet13!$C$3</c:f>
              <c:strCache>
                <c:ptCount val="1"/>
                <c:pt idx="0">
                  <c:v>Sum of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Sheet13!$A$4:$A$16</c:f>
              <c:multiLvlStrCache>
                <c:ptCount val="8"/>
                <c:lvl>
                  <c:pt idx="0">
                    <c:v>Female</c:v>
                  </c:pt>
                  <c:pt idx="1">
                    <c:v>Male</c:v>
                  </c:pt>
                  <c:pt idx="2">
                    <c:v>Female</c:v>
                  </c:pt>
                  <c:pt idx="3">
                    <c:v>Male</c:v>
                  </c:pt>
                  <c:pt idx="4">
                    <c:v>Female</c:v>
                  </c:pt>
                  <c:pt idx="5">
                    <c:v>Male</c:v>
                  </c:pt>
                  <c:pt idx="6">
                    <c:v>Female</c:v>
                  </c:pt>
                  <c:pt idx="7">
                    <c:v>Male</c:v>
                  </c:pt>
                </c:lvl>
                <c:lvl>
                  <c:pt idx="0">
                    <c:v>East</c:v>
                  </c:pt>
                  <c:pt idx="2">
                    <c:v>North</c:v>
                  </c:pt>
                  <c:pt idx="4">
                    <c:v>South</c:v>
                  </c:pt>
                  <c:pt idx="6">
                    <c:v>West</c:v>
                  </c:pt>
                </c:lvl>
              </c:multiLvlStrCache>
            </c:multiLvlStrRef>
          </c:cat>
          <c:val>
            <c:numRef>
              <c:f>Sheet13!$C$4:$C$16</c:f>
              <c:numCache>
                <c:formatCode>General</c:formatCode>
                <c:ptCount val="8"/>
                <c:pt idx="0">
                  <c:v>0.59</c:v>
                </c:pt>
                <c:pt idx="1">
                  <c:v>0.2</c:v>
                </c:pt>
                <c:pt idx="2">
                  <c:v>0.13</c:v>
                </c:pt>
                <c:pt idx="3">
                  <c:v>0.5</c:v>
                </c:pt>
                <c:pt idx="4">
                  <c:v>0.28000000000000003</c:v>
                </c:pt>
                <c:pt idx="5">
                  <c:v>0.69</c:v>
                </c:pt>
                <c:pt idx="6">
                  <c:v>0.73</c:v>
                </c:pt>
                <c:pt idx="7">
                  <c:v>0.32</c:v>
                </c:pt>
              </c:numCache>
            </c:numRef>
          </c:val>
          <c:extLst>
            <c:ext xmlns:c16="http://schemas.microsoft.com/office/drawing/2014/chart" uri="{C3380CC4-5D6E-409C-BE32-E72D297353CC}">
              <c16:uniqueId val="{00000001-9490-4275-AC53-61F6212DA6BA}"/>
            </c:ext>
          </c:extLst>
        </c:ser>
        <c:dLbls>
          <c:showLegendKey val="0"/>
          <c:showVal val="0"/>
          <c:showCatName val="0"/>
          <c:showSerName val="0"/>
          <c:showPercent val="0"/>
          <c:showBubbleSize val="0"/>
        </c:dLbls>
        <c:gapWidth val="115"/>
        <c:overlap val="-20"/>
        <c:axId val="717535824"/>
        <c:axId val="717531024"/>
      </c:barChart>
      <c:catAx>
        <c:axId val="7175358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531024"/>
        <c:crosses val="autoZero"/>
        <c:auto val="1"/>
        <c:lblAlgn val="ctr"/>
        <c:lblOffset val="100"/>
        <c:noMultiLvlLbl val="0"/>
      </c:catAx>
      <c:valAx>
        <c:axId val="717531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5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Exponential Smoothing</a:t>
            </a:r>
          </a:p>
        </c:rich>
      </c:tx>
      <c:overlay val="0"/>
    </c:title>
    <c:autoTitleDeleted val="0"/>
    <c:plotArea>
      <c:layout/>
      <c:lineChart>
        <c:grouping val="standard"/>
        <c:varyColors val="0"/>
        <c:ser>
          <c:idx val="0"/>
          <c:order val="0"/>
          <c:tx>
            <c:v>Actual</c:v>
          </c:tx>
          <c:val>
            <c:numRef>
              <c:f>Sheet1!$P$3:$P$42</c:f>
              <c:numCache>
                <c:formatCode>0.00</c:formatCode>
                <c:ptCount val="40"/>
                <c:pt idx="0">
                  <c:v>3400</c:v>
                </c:pt>
                <c:pt idx="1">
                  <c:v>6100</c:v>
                </c:pt>
                <c:pt idx="2">
                  <c:v>2800</c:v>
                </c:pt>
                <c:pt idx="3">
                  <c:v>7500</c:v>
                </c:pt>
                <c:pt idx="4">
                  <c:v>4100</c:v>
                </c:pt>
                <c:pt idx="5">
                  <c:v>3200</c:v>
                </c:pt>
                <c:pt idx="6">
                  <c:v>5600</c:v>
                </c:pt>
                <c:pt idx="7">
                  <c:v>4900</c:v>
                </c:pt>
                <c:pt idx="8">
                  <c:v>2200</c:v>
                </c:pt>
                <c:pt idx="9">
                  <c:v>6800</c:v>
                </c:pt>
                <c:pt idx="10">
                  <c:v>3700</c:v>
                </c:pt>
                <c:pt idx="11">
                  <c:v>8100</c:v>
                </c:pt>
                <c:pt idx="12">
                  <c:v>4600</c:v>
                </c:pt>
                <c:pt idx="13">
                  <c:v>2900</c:v>
                </c:pt>
                <c:pt idx="14">
                  <c:v>6200</c:v>
                </c:pt>
                <c:pt idx="15">
                  <c:v>5300</c:v>
                </c:pt>
                <c:pt idx="16">
                  <c:v>3100</c:v>
                </c:pt>
                <c:pt idx="17">
                  <c:v>7200</c:v>
                </c:pt>
                <c:pt idx="18">
                  <c:v>4300</c:v>
                </c:pt>
                <c:pt idx="19">
                  <c:v>6700</c:v>
                </c:pt>
                <c:pt idx="20">
                  <c:v>2500</c:v>
                </c:pt>
                <c:pt idx="21">
                  <c:v>5800</c:v>
                </c:pt>
                <c:pt idx="22">
                  <c:v>3900</c:v>
                </c:pt>
                <c:pt idx="23">
                  <c:v>8400</c:v>
                </c:pt>
                <c:pt idx="24">
                  <c:v>4700</c:v>
                </c:pt>
                <c:pt idx="25">
                  <c:v>3400</c:v>
                </c:pt>
                <c:pt idx="26">
                  <c:v>6500</c:v>
                </c:pt>
                <c:pt idx="27">
                  <c:v>5600</c:v>
                </c:pt>
                <c:pt idx="28">
                  <c:v>2800</c:v>
                </c:pt>
                <c:pt idx="29">
                  <c:v>7700</c:v>
                </c:pt>
                <c:pt idx="30">
                  <c:v>4500</c:v>
                </c:pt>
                <c:pt idx="31">
                  <c:v>6100</c:v>
                </c:pt>
                <c:pt idx="32">
                  <c:v>3600</c:v>
                </c:pt>
                <c:pt idx="33">
                  <c:v>4900</c:v>
                </c:pt>
                <c:pt idx="34">
                  <c:v>7000</c:v>
                </c:pt>
                <c:pt idx="35">
                  <c:v>3200</c:v>
                </c:pt>
                <c:pt idx="36">
                  <c:v>5400</c:v>
                </c:pt>
                <c:pt idx="37">
                  <c:v>2600</c:v>
                </c:pt>
                <c:pt idx="38">
                  <c:v>5900</c:v>
                </c:pt>
                <c:pt idx="39">
                  <c:v>7300</c:v>
                </c:pt>
              </c:numCache>
            </c:numRef>
          </c:val>
          <c:smooth val="0"/>
          <c:extLst>
            <c:ext xmlns:c16="http://schemas.microsoft.com/office/drawing/2014/chart" uri="{C3380CC4-5D6E-409C-BE32-E72D297353CC}">
              <c16:uniqueId val="{00000001-1D32-4E5A-B174-06874204E392}"/>
            </c:ext>
          </c:extLst>
        </c:ser>
        <c:ser>
          <c:idx val="1"/>
          <c:order val="1"/>
          <c:tx>
            <c:v>Forecast</c:v>
          </c:tx>
          <c:val>
            <c:numRef>
              <c:f>Sheet1!$Q$2:$Q$41</c:f>
              <c:numCache>
                <c:formatCode>0.00</c:formatCode>
                <c:ptCount val="40"/>
                <c:pt idx="1">
                  <c:v>3400</c:v>
                </c:pt>
                <c:pt idx="2" formatCode="General">
                  <c:v>5290</c:v>
                </c:pt>
                <c:pt idx="3" formatCode="General">
                  <c:v>3547</c:v>
                </c:pt>
                <c:pt idx="4" formatCode="General">
                  <c:v>6314.1</c:v>
                </c:pt>
                <c:pt idx="5" formatCode="General">
                  <c:v>4764.2299999999996</c:v>
                </c:pt>
                <c:pt idx="6" formatCode="General">
                  <c:v>3669.2689999999998</c:v>
                </c:pt>
                <c:pt idx="7" formatCode="General">
                  <c:v>5020.7806999999993</c:v>
                </c:pt>
                <c:pt idx="8" formatCode="General">
                  <c:v>4936.2342099999996</c:v>
                </c:pt>
                <c:pt idx="9" formatCode="General">
                  <c:v>3020.8702629999998</c:v>
                </c:pt>
                <c:pt idx="10" formatCode="General">
                  <c:v>5666.2610789</c:v>
                </c:pt>
                <c:pt idx="11" formatCode="General">
                  <c:v>4289.8783236700001</c:v>
                </c:pt>
                <c:pt idx="12" formatCode="General">
                  <c:v>6956.963497101</c:v>
                </c:pt>
                <c:pt idx="13" formatCode="General">
                  <c:v>5307.0890491302998</c:v>
                </c:pt>
                <c:pt idx="14" formatCode="General">
                  <c:v>3622.1267147390899</c:v>
                </c:pt>
                <c:pt idx="15" formatCode="General">
                  <c:v>5426.6380144217273</c:v>
                </c:pt>
                <c:pt idx="16" formatCode="General">
                  <c:v>5337.991404326518</c:v>
                </c:pt>
                <c:pt idx="17" formatCode="General">
                  <c:v>3771.3974212979556</c:v>
                </c:pt>
                <c:pt idx="18" formatCode="General">
                  <c:v>6171.4192263893865</c:v>
                </c:pt>
                <c:pt idx="19" formatCode="General">
                  <c:v>4861.4257679168159</c:v>
                </c:pt>
                <c:pt idx="20" formatCode="General">
                  <c:v>6148.427730375045</c:v>
                </c:pt>
                <c:pt idx="21" formatCode="General">
                  <c:v>3594.5283191125136</c:v>
                </c:pt>
                <c:pt idx="22" formatCode="General">
                  <c:v>5138.3584957337534</c:v>
                </c:pt>
                <c:pt idx="23" formatCode="General">
                  <c:v>4271.5075487201257</c:v>
                </c:pt>
                <c:pt idx="24" formatCode="General">
                  <c:v>7161.4522646160376</c:v>
                </c:pt>
                <c:pt idx="25" formatCode="General">
                  <c:v>5438.435679384811</c:v>
                </c:pt>
                <c:pt idx="26" formatCode="General">
                  <c:v>4011.5307038154433</c:v>
                </c:pt>
                <c:pt idx="27" formatCode="General">
                  <c:v>5753.4592111446327</c:v>
                </c:pt>
                <c:pt idx="28" formatCode="General">
                  <c:v>5646.0377633433891</c:v>
                </c:pt>
                <c:pt idx="29" formatCode="General">
                  <c:v>3653.8113290030165</c:v>
                </c:pt>
                <c:pt idx="30" formatCode="General">
                  <c:v>6486.143398700905</c:v>
                </c:pt>
                <c:pt idx="31" formatCode="General">
                  <c:v>5095.8430196102709</c:v>
                </c:pt>
                <c:pt idx="32" formatCode="General">
                  <c:v>5798.7529058830814</c:v>
                </c:pt>
                <c:pt idx="33" formatCode="General">
                  <c:v>4259.6258717649243</c:v>
                </c:pt>
                <c:pt idx="34" formatCode="General">
                  <c:v>4707.8877615294768</c:v>
                </c:pt>
                <c:pt idx="35" formatCode="General">
                  <c:v>6312.3663284588429</c:v>
                </c:pt>
                <c:pt idx="36">
                  <c:v>4133.7098985376524</c:v>
                </c:pt>
                <c:pt idx="37">
                  <c:v>5020.1129695612954</c:v>
                </c:pt>
                <c:pt idx="38">
                  <c:v>3326.0338908683884</c:v>
                </c:pt>
                <c:pt idx="39">
                  <c:v>5127.8101672605162</c:v>
                </c:pt>
              </c:numCache>
            </c:numRef>
          </c:val>
          <c:smooth val="0"/>
          <c:extLst>
            <c:ext xmlns:c16="http://schemas.microsoft.com/office/drawing/2014/chart" uri="{C3380CC4-5D6E-409C-BE32-E72D297353CC}">
              <c16:uniqueId val="{00000002-1D32-4E5A-B174-06874204E392}"/>
            </c:ext>
          </c:extLst>
        </c:ser>
        <c:dLbls>
          <c:showLegendKey val="0"/>
          <c:showVal val="0"/>
          <c:showCatName val="0"/>
          <c:showSerName val="0"/>
          <c:showPercent val="0"/>
          <c:showBubbleSize val="0"/>
        </c:dLbls>
        <c:marker val="1"/>
        <c:smooth val="0"/>
        <c:axId val="1390571488"/>
        <c:axId val="1390580608"/>
      </c:lineChart>
      <c:catAx>
        <c:axId val="1390571488"/>
        <c:scaling>
          <c:orientation val="minMax"/>
        </c:scaling>
        <c:delete val="0"/>
        <c:axPos val="b"/>
        <c:title>
          <c:tx>
            <c:rich>
              <a:bodyPr/>
              <a:lstStyle/>
              <a:p>
                <a:pPr>
                  <a:defRPr/>
                </a:pPr>
                <a:r>
                  <a:rPr lang="en-IN"/>
                  <a:t>Data Point</a:t>
                </a:r>
              </a:p>
            </c:rich>
          </c:tx>
          <c:overlay val="0"/>
        </c:title>
        <c:majorTickMark val="out"/>
        <c:minorTickMark val="none"/>
        <c:tickLblPos val="nextTo"/>
        <c:crossAx val="1390580608"/>
        <c:crosses val="autoZero"/>
        <c:auto val="1"/>
        <c:lblAlgn val="ctr"/>
        <c:lblOffset val="100"/>
        <c:noMultiLvlLbl val="0"/>
      </c:catAx>
      <c:valAx>
        <c:axId val="1390580608"/>
        <c:scaling>
          <c:orientation val="minMax"/>
        </c:scaling>
        <c:delete val="0"/>
        <c:axPos val="l"/>
        <c:title>
          <c:tx>
            <c:rich>
              <a:bodyPr/>
              <a:lstStyle/>
              <a:p>
                <a:pPr>
                  <a:defRPr/>
                </a:pPr>
                <a:r>
                  <a:rPr lang="en-IN"/>
                  <a:t>Value</a:t>
                </a:r>
              </a:p>
            </c:rich>
          </c:tx>
          <c:overlay val="0"/>
        </c:title>
        <c:numFmt formatCode="0.00" sourceLinked="1"/>
        <c:majorTickMark val="out"/>
        <c:minorTickMark val="none"/>
        <c:tickLblPos val="nextTo"/>
        <c:crossAx val="139057148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analysis.xlsx]Sheet1!PivotTable4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Sheet1!$H$120:$H$121</c:f>
              <c:strCache>
                <c:ptCount val="1"/>
                <c:pt idx="0">
                  <c:v>Bank Transfer</c:v>
                </c:pt>
              </c:strCache>
            </c:strRef>
          </c:tx>
          <c:spPr>
            <a:solidFill>
              <a:schemeClr val="accent1"/>
            </a:solidFill>
            <a:ln>
              <a:noFill/>
            </a:ln>
            <a:effectLst/>
            <a:sp3d/>
          </c:spPr>
          <c:invertIfNegative val="0"/>
          <c:cat>
            <c:strRef>
              <c:f>Sheet1!$G$122:$G$129</c:f>
              <c:strCache>
                <c:ptCount val="7"/>
                <c:pt idx="0">
                  <c:v>Beauty</c:v>
                </c:pt>
                <c:pt idx="1">
                  <c:v>Books</c:v>
                </c:pt>
                <c:pt idx="2">
                  <c:v>Clothing</c:v>
                </c:pt>
                <c:pt idx="3">
                  <c:v>Electronics</c:v>
                </c:pt>
                <c:pt idx="4">
                  <c:v>Home &amp; Kitchen</c:v>
                </c:pt>
                <c:pt idx="5">
                  <c:v>Sports</c:v>
                </c:pt>
                <c:pt idx="6">
                  <c:v>Toys</c:v>
                </c:pt>
              </c:strCache>
            </c:strRef>
          </c:cat>
          <c:val>
            <c:numRef>
              <c:f>Sheet1!$H$122:$H$129</c:f>
              <c:numCache>
                <c:formatCode>0.00</c:formatCode>
                <c:ptCount val="7"/>
                <c:pt idx="0">
                  <c:v>2800</c:v>
                </c:pt>
                <c:pt idx="1">
                  <c:v>9000</c:v>
                </c:pt>
                <c:pt idx="3">
                  <c:v>3600</c:v>
                </c:pt>
                <c:pt idx="5">
                  <c:v>8400</c:v>
                </c:pt>
                <c:pt idx="6">
                  <c:v>6200</c:v>
                </c:pt>
              </c:numCache>
            </c:numRef>
          </c:val>
          <c:extLst>
            <c:ext xmlns:c16="http://schemas.microsoft.com/office/drawing/2014/chart" uri="{C3380CC4-5D6E-409C-BE32-E72D297353CC}">
              <c16:uniqueId val="{00000000-22B6-43D8-AA25-C03A3551269C}"/>
            </c:ext>
          </c:extLst>
        </c:ser>
        <c:ser>
          <c:idx val="1"/>
          <c:order val="1"/>
          <c:tx>
            <c:strRef>
              <c:f>Sheet1!$I$120:$I$121</c:f>
              <c:strCache>
                <c:ptCount val="1"/>
                <c:pt idx="0">
                  <c:v>Cash on Delivery</c:v>
                </c:pt>
              </c:strCache>
            </c:strRef>
          </c:tx>
          <c:spPr>
            <a:solidFill>
              <a:schemeClr val="accent2"/>
            </a:solidFill>
            <a:ln>
              <a:noFill/>
            </a:ln>
            <a:effectLst/>
            <a:sp3d/>
          </c:spPr>
          <c:invertIfNegative val="0"/>
          <c:cat>
            <c:strRef>
              <c:f>Sheet1!$G$122:$G$129</c:f>
              <c:strCache>
                <c:ptCount val="7"/>
                <c:pt idx="0">
                  <c:v>Beauty</c:v>
                </c:pt>
                <c:pt idx="1">
                  <c:v>Books</c:v>
                </c:pt>
                <c:pt idx="2">
                  <c:v>Clothing</c:v>
                </c:pt>
                <c:pt idx="3">
                  <c:v>Electronics</c:v>
                </c:pt>
                <c:pt idx="4">
                  <c:v>Home &amp; Kitchen</c:v>
                </c:pt>
                <c:pt idx="5">
                  <c:v>Sports</c:v>
                </c:pt>
                <c:pt idx="6">
                  <c:v>Toys</c:v>
                </c:pt>
              </c:strCache>
            </c:strRef>
          </c:cat>
          <c:val>
            <c:numRef>
              <c:f>Sheet1!$I$122:$I$129</c:f>
              <c:numCache>
                <c:formatCode>0.00</c:formatCode>
                <c:ptCount val="7"/>
                <c:pt idx="0">
                  <c:v>2800</c:v>
                </c:pt>
                <c:pt idx="1">
                  <c:v>12100</c:v>
                </c:pt>
                <c:pt idx="2">
                  <c:v>12000</c:v>
                </c:pt>
                <c:pt idx="3">
                  <c:v>8400</c:v>
                </c:pt>
                <c:pt idx="5">
                  <c:v>12600</c:v>
                </c:pt>
                <c:pt idx="6">
                  <c:v>18200</c:v>
                </c:pt>
              </c:numCache>
            </c:numRef>
          </c:val>
          <c:extLst>
            <c:ext xmlns:c16="http://schemas.microsoft.com/office/drawing/2014/chart" uri="{C3380CC4-5D6E-409C-BE32-E72D297353CC}">
              <c16:uniqueId val="{00000001-22B6-43D8-AA25-C03A3551269C}"/>
            </c:ext>
          </c:extLst>
        </c:ser>
        <c:ser>
          <c:idx val="2"/>
          <c:order val="2"/>
          <c:tx>
            <c:strRef>
              <c:f>Sheet1!$J$120:$J$121</c:f>
              <c:strCache>
                <c:ptCount val="1"/>
                <c:pt idx="0">
                  <c:v>Credit Card</c:v>
                </c:pt>
              </c:strCache>
            </c:strRef>
          </c:tx>
          <c:spPr>
            <a:solidFill>
              <a:schemeClr val="accent3"/>
            </a:solidFill>
            <a:ln>
              <a:noFill/>
            </a:ln>
            <a:effectLst/>
            <a:sp3d/>
          </c:spPr>
          <c:invertIfNegative val="0"/>
          <c:cat>
            <c:strRef>
              <c:f>Sheet1!$G$122:$G$129</c:f>
              <c:strCache>
                <c:ptCount val="7"/>
                <c:pt idx="0">
                  <c:v>Beauty</c:v>
                </c:pt>
                <c:pt idx="1">
                  <c:v>Books</c:v>
                </c:pt>
                <c:pt idx="2">
                  <c:v>Clothing</c:v>
                </c:pt>
                <c:pt idx="3">
                  <c:v>Electronics</c:v>
                </c:pt>
                <c:pt idx="4">
                  <c:v>Home &amp; Kitchen</c:v>
                </c:pt>
                <c:pt idx="5">
                  <c:v>Sports</c:v>
                </c:pt>
                <c:pt idx="6">
                  <c:v>Toys</c:v>
                </c:pt>
              </c:strCache>
            </c:strRef>
          </c:cat>
          <c:val>
            <c:numRef>
              <c:f>Sheet1!$J$122:$J$129</c:f>
              <c:numCache>
                <c:formatCode>0.00</c:formatCode>
                <c:ptCount val="7"/>
                <c:pt idx="0">
                  <c:v>8500</c:v>
                </c:pt>
                <c:pt idx="1">
                  <c:v>11300</c:v>
                </c:pt>
                <c:pt idx="3">
                  <c:v>12600</c:v>
                </c:pt>
                <c:pt idx="4">
                  <c:v>14200</c:v>
                </c:pt>
                <c:pt idx="5">
                  <c:v>5600</c:v>
                </c:pt>
                <c:pt idx="6">
                  <c:v>6700</c:v>
                </c:pt>
              </c:numCache>
            </c:numRef>
          </c:val>
          <c:extLst>
            <c:ext xmlns:c16="http://schemas.microsoft.com/office/drawing/2014/chart" uri="{C3380CC4-5D6E-409C-BE32-E72D297353CC}">
              <c16:uniqueId val="{00000002-22B6-43D8-AA25-C03A3551269C}"/>
            </c:ext>
          </c:extLst>
        </c:ser>
        <c:ser>
          <c:idx val="3"/>
          <c:order val="3"/>
          <c:tx>
            <c:strRef>
              <c:f>Sheet1!$K$120:$K$121</c:f>
              <c:strCache>
                <c:ptCount val="1"/>
                <c:pt idx="0">
                  <c:v>Debit Card</c:v>
                </c:pt>
              </c:strCache>
            </c:strRef>
          </c:tx>
          <c:spPr>
            <a:solidFill>
              <a:schemeClr val="accent4"/>
            </a:solidFill>
            <a:ln>
              <a:noFill/>
            </a:ln>
            <a:effectLst/>
            <a:sp3d/>
          </c:spPr>
          <c:invertIfNegative val="0"/>
          <c:cat>
            <c:strRef>
              <c:f>Sheet1!$G$122:$G$129</c:f>
              <c:strCache>
                <c:ptCount val="7"/>
                <c:pt idx="0">
                  <c:v>Beauty</c:v>
                </c:pt>
                <c:pt idx="1">
                  <c:v>Books</c:v>
                </c:pt>
                <c:pt idx="2">
                  <c:v>Clothing</c:v>
                </c:pt>
                <c:pt idx="3">
                  <c:v>Electronics</c:v>
                </c:pt>
                <c:pt idx="4">
                  <c:v>Home &amp; Kitchen</c:v>
                </c:pt>
                <c:pt idx="5">
                  <c:v>Sports</c:v>
                </c:pt>
                <c:pt idx="6">
                  <c:v>Toys</c:v>
                </c:pt>
              </c:strCache>
            </c:strRef>
          </c:cat>
          <c:val>
            <c:numRef>
              <c:f>Sheet1!$K$122:$K$129</c:f>
              <c:numCache>
                <c:formatCode>0.00</c:formatCode>
                <c:ptCount val="7"/>
                <c:pt idx="0">
                  <c:v>6600</c:v>
                </c:pt>
                <c:pt idx="3">
                  <c:v>11800</c:v>
                </c:pt>
                <c:pt idx="4">
                  <c:v>4600</c:v>
                </c:pt>
                <c:pt idx="6">
                  <c:v>10000</c:v>
                </c:pt>
              </c:numCache>
            </c:numRef>
          </c:val>
          <c:extLst>
            <c:ext xmlns:c16="http://schemas.microsoft.com/office/drawing/2014/chart" uri="{C3380CC4-5D6E-409C-BE32-E72D297353CC}">
              <c16:uniqueId val="{00000003-22B6-43D8-AA25-C03A3551269C}"/>
            </c:ext>
          </c:extLst>
        </c:ser>
        <c:ser>
          <c:idx val="4"/>
          <c:order val="4"/>
          <c:tx>
            <c:strRef>
              <c:f>Sheet1!$L$120:$L$121</c:f>
              <c:strCache>
                <c:ptCount val="1"/>
                <c:pt idx="0">
                  <c:v>PayPal</c:v>
                </c:pt>
              </c:strCache>
            </c:strRef>
          </c:tx>
          <c:spPr>
            <a:solidFill>
              <a:schemeClr val="accent5"/>
            </a:solidFill>
            <a:ln>
              <a:noFill/>
            </a:ln>
            <a:effectLst/>
            <a:sp3d/>
          </c:spPr>
          <c:invertIfNegative val="0"/>
          <c:cat>
            <c:strRef>
              <c:f>Sheet1!$G$122:$G$129</c:f>
              <c:strCache>
                <c:ptCount val="7"/>
                <c:pt idx="0">
                  <c:v>Beauty</c:v>
                </c:pt>
                <c:pt idx="1">
                  <c:v>Books</c:v>
                </c:pt>
                <c:pt idx="2">
                  <c:v>Clothing</c:v>
                </c:pt>
                <c:pt idx="3">
                  <c:v>Electronics</c:v>
                </c:pt>
                <c:pt idx="4">
                  <c:v>Home &amp; Kitchen</c:v>
                </c:pt>
                <c:pt idx="5">
                  <c:v>Sports</c:v>
                </c:pt>
                <c:pt idx="6">
                  <c:v>Toys</c:v>
                </c:pt>
              </c:strCache>
            </c:strRef>
          </c:cat>
          <c:val>
            <c:numRef>
              <c:f>Sheet1!$L$122:$L$129</c:f>
              <c:numCache>
                <c:formatCode>0.00</c:formatCode>
                <c:ptCount val="7"/>
                <c:pt idx="0">
                  <c:v>6100</c:v>
                </c:pt>
                <c:pt idx="2">
                  <c:v>3100</c:v>
                </c:pt>
                <c:pt idx="3">
                  <c:v>8500</c:v>
                </c:pt>
              </c:numCache>
            </c:numRef>
          </c:val>
          <c:extLst>
            <c:ext xmlns:c16="http://schemas.microsoft.com/office/drawing/2014/chart" uri="{C3380CC4-5D6E-409C-BE32-E72D297353CC}">
              <c16:uniqueId val="{00000004-22B6-43D8-AA25-C03A3551269C}"/>
            </c:ext>
          </c:extLst>
        </c:ser>
        <c:dLbls>
          <c:showLegendKey val="0"/>
          <c:showVal val="0"/>
          <c:showCatName val="0"/>
          <c:showSerName val="0"/>
          <c:showPercent val="0"/>
          <c:showBubbleSize val="0"/>
        </c:dLbls>
        <c:gapWidth val="150"/>
        <c:shape val="box"/>
        <c:axId val="10508464"/>
        <c:axId val="10513744"/>
        <c:axId val="0"/>
      </c:bar3DChart>
      <c:catAx>
        <c:axId val="10508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3744"/>
        <c:crosses val="autoZero"/>
        <c:auto val="1"/>
        <c:lblAlgn val="ctr"/>
        <c:lblOffset val="100"/>
        <c:noMultiLvlLbl val="0"/>
      </c:catAx>
      <c:valAx>
        <c:axId val="1051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428625</xdr:colOff>
      <xdr:row>0</xdr:row>
      <xdr:rowOff>180975</xdr:rowOff>
    </xdr:from>
    <xdr:to>
      <xdr:col>13</xdr:col>
      <xdr:colOff>238125</xdr:colOff>
      <xdr:row>13</xdr:row>
      <xdr:rowOff>66675</xdr:rowOff>
    </xdr:to>
    <xdr:graphicFrame macro="">
      <xdr:nvGraphicFramePr>
        <xdr:cNvPr id="2" name="Chart 1">
          <a:extLst>
            <a:ext uri="{FF2B5EF4-FFF2-40B4-BE49-F238E27FC236}">
              <a16:creationId xmlns:a16="http://schemas.microsoft.com/office/drawing/2014/main" id="{6FA6BF5E-5C67-57FA-CDAF-42A406515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0</xdr:row>
      <xdr:rowOff>180975</xdr:rowOff>
    </xdr:from>
    <xdr:to>
      <xdr:col>13</xdr:col>
      <xdr:colOff>238125</xdr:colOff>
      <xdr:row>10</xdr:row>
      <xdr:rowOff>180975</xdr:rowOff>
    </xdr:to>
    <xdr:graphicFrame macro="">
      <xdr:nvGraphicFramePr>
        <xdr:cNvPr id="2" name="Chart 1">
          <a:extLst>
            <a:ext uri="{FF2B5EF4-FFF2-40B4-BE49-F238E27FC236}">
              <a16:creationId xmlns:a16="http://schemas.microsoft.com/office/drawing/2014/main" id="{283D2682-37EF-0A1F-0177-DE22404BA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A00B6735-05AD-FFD8-9D38-289377793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16</xdr:row>
      <xdr:rowOff>171450</xdr:rowOff>
    </xdr:from>
    <xdr:to>
      <xdr:col>16</xdr:col>
      <xdr:colOff>9525</xdr:colOff>
      <xdr:row>26</xdr:row>
      <xdr:rowOff>171450</xdr:rowOff>
    </xdr:to>
    <xdr:graphicFrame macro="">
      <xdr:nvGraphicFramePr>
        <xdr:cNvPr id="3" name="Chart 2">
          <a:extLst>
            <a:ext uri="{FF2B5EF4-FFF2-40B4-BE49-F238E27FC236}">
              <a16:creationId xmlns:a16="http://schemas.microsoft.com/office/drawing/2014/main" id="{55EA820F-7031-B31A-E3BF-532F9D24E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161925</xdr:colOff>
      <xdr:row>14</xdr:row>
      <xdr:rowOff>171450</xdr:rowOff>
    </xdr:from>
    <xdr:to>
      <xdr:col>23</xdr:col>
      <xdr:colOff>161925</xdr:colOff>
      <xdr:row>24</xdr:row>
      <xdr:rowOff>171450</xdr:rowOff>
    </xdr:to>
    <xdr:graphicFrame macro="">
      <xdr:nvGraphicFramePr>
        <xdr:cNvPr id="4" name="Chart 3">
          <a:extLst>
            <a:ext uri="{FF2B5EF4-FFF2-40B4-BE49-F238E27FC236}">
              <a16:creationId xmlns:a16="http://schemas.microsoft.com/office/drawing/2014/main" id="{209B9206-427D-F7CF-3160-46E434268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42861</xdr:rowOff>
    </xdr:from>
    <xdr:to>
      <xdr:col>8</xdr:col>
      <xdr:colOff>161925</xdr:colOff>
      <xdr:row>36</xdr:row>
      <xdr:rowOff>104774</xdr:rowOff>
    </xdr:to>
    <xdr:graphicFrame macro="">
      <xdr:nvGraphicFramePr>
        <xdr:cNvPr id="2" name="Chart 1">
          <a:extLst>
            <a:ext uri="{FF2B5EF4-FFF2-40B4-BE49-F238E27FC236}">
              <a16:creationId xmlns:a16="http://schemas.microsoft.com/office/drawing/2014/main" id="{2E250205-5B0B-659D-0A11-7349C925B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990600</xdr:colOff>
      <xdr:row>7</xdr:row>
      <xdr:rowOff>0</xdr:rowOff>
    </xdr:from>
    <xdr:to>
      <xdr:col>10</xdr:col>
      <xdr:colOff>990600</xdr:colOff>
      <xdr:row>20</xdr:row>
      <xdr:rowOff>47625</xdr:rowOff>
    </xdr:to>
    <mc:AlternateContent xmlns:mc="http://schemas.openxmlformats.org/markup-compatibility/2006">
      <mc:Choice xmlns:a14="http://schemas.microsoft.com/office/drawing/2010/main" Requires="a14">
        <xdr:graphicFrame macro="">
          <xdr:nvGraphicFramePr>
            <xdr:cNvPr id="3" name="PaymentMethod">
              <a:extLst>
                <a:ext uri="{FF2B5EF4-FFF2-40B4-BE49-F238E27FC236}">
                  <a16:creationId xmlns:a16="http://schemas.microsoft.com/office/drawing/2014/main" id="{969ECE62-1217-406E-12EE-EDEFFB9CCAB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105900" y="133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542924</xdr:colOff>
      <xdr:row>16</xdr:row>
      <xdr:rowOff>100012</xdr:rowOff>
    </xdr:from>
    <xdr:to>
      <xdr:col>8</xdr:col>
      <xdr:colOff>1352549</xdr:colOff>
      <xdr:row>33</xdr:row>
      <xdr:rowOff>19050</xdr:rowOff>
    </xdr:to>
    <xdr:graphicFrame macro="">
      <xdr:nvGraphicFramePr>
        <xdr:cNvPr id="2" name="Chart 1">
          <a:extLst>
            <a:ext uri="{FF2B5EF4-FFF2-40B4-BE49-F238E27FC236}">
              <a16:creationId xmlns:a16="http://schemas.microsoft.com/office/drawing/2014/main" id="{5A242A87-92DD-66A3-950D-3DF4BD034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600075</xdr:colOff>
      <xdr:row>0</xdr:row>
      <xdr:rowOff>0</xdr:rowOff>
    </xdr:from>
    <xdr:to>
      <xdr:col>7</xdr:col>
      <xdr:colOff>1066800</xdr:colOff>
      <xdr:row>13</xdr:row>
      <xdr:rowOff>47625</xdr:rowOff>
    </xdr:to>
    <mc:AlternateContent xmlns:mc="http://schemas.openxmlformats.org/markup-compatibility/2006">
      <mc:Choice xmlns:a14="http://schemas.microsoft.com/office/drawing/2010/main" Requires="a14">
        <xdr:graphicFrame macro="">
          <xdr:nvGraphicFramePr>
            <xdr:cNvPr id="3" name="Discount">
              <a:extLst>
                <a:ext uri="{FF2B5EF4-FFF2-40B4-BE49-F238E27FC236}">
                  <a16:creationId xmlns:a16="http://schemas.microsoft.com/office/drawing/2014/main" id="{CE4EC610-C825-B78D-6913-2B0693A286DB}"/>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610552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108697</xdr:colOff>
      <xdr:row>2</xdr:row>
      <xdr:rowOff>19610</xdr:rowOff>
    </xdr:from>
    <xdr:to>
      <xdr:col>25</xdr:col>
      <xdr:colOff>108697</xdr:colOff>
      <xdr:row>12</xdr:row>
      <xdr:rowOff>19610</xdr:rowOff>
    </xdr:to>
    <xdr:graphicFrame macro="">
      <xdr:nvGraphicFramePr>
        <xdr:cNvPr id="2" name="Chart 1">
          <a:extLst>
            <a:ext uri="{FF2B5EF4-FFF2-40B4-BE49-F238E27FC236}">
              <a16:creationId xmlns:a16="http://schemas.microsoft.com/office/drawing/2014/main" id="{AB0A3253-F407-08B1-0047-F2EE98C97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673554</xdr:colOff>
      <xdr:row>117</xdr:row>
      <xdr:rowOff>42182</xdr:rowOff>
    </xdr:from>
    <xdr:to>
      <xdr:col>14</xdr:col>
      <xdr:colOff>678996</xdr:colOff>
      <xdr:row>130</xdr:row>
      <xdr:rowOff>89807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A29985F-0CD4-D6AE-DA56-527C425870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39875" y="2390911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111</xdr:row>
      <xdr:rowOff>68035</xdr:rowOff>
    </xdr:from>
    <xdr:to>
      <xdr:col>5</xdr:col>
      <xdr:colOff>517071</xdr:colOff>
      <xdr:row>134</xdr:row>
      <xdr:rowOff>163284</xdr:rowOff>
    </xdr:to>
    <xdr:graphicFrame macro="">
      <xdr:nvGraphicFramePr>
        <xdr:cNvPr id="7" name="Chart 6">
          <a:extLst>
            <a:ext uri="{FF2B5EF4-FFF2-40B4-BE49-F238E27FC236}">
              <a16:creationId xmlns:a16="http://schemas.microsoft.com/office/drawing/2014/main" id="{6994FC24-AE55-CD2C-9B6B-8F520E049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12546759259" createdVersion="8" refreshedVersion="8" minRefreshableVersion="3" recordCount="4" xr:uid="{85E715F7-77ED-406F-ABCC-EBCF02660EA1}">
  <cacheSource type="worksheet">
    <worksheetSource ref="K87:Q91" sheet="Sheet1"/>
  </cacheSource>
  <cacheFields count="7">
    <cacheField name="Source of Variation" numFmtId="0">
      <sharedItems count="4">
        <s v="Sample"/>
        <s v="Columns"/>
        <s v="Interaction"/>
        <s v="Within"/>
      </sharedItems>
    </cacheField>
    <cacheField name="SS" numFmtId="0">
      <sharedItems containsSemiMixedTypes="0" containsString="0" containsNumber="1" minValue="2.6666666666666288" maxValue="288.66666666666674"/>
    </cacheField>
    <cacheField name="df" numFmtId="0">
      <sharedItems containsSemiMixedTypes="0" containsString="0" containsNumber="1" containsInteger="1" minValue="1" maxValue="6"/>
    </cacheField>
    <cacheField name="MS" numFmtId="0">
      <sharedItems containsSemiMixedTypes="0" containsString="0" containsNumber="1" minValue="1.3333333333333144" maxValue="225.33333333333337"/>
    </cacheField>
    <cacheField name="F" numFmtId="0">
      <sharedItems containsString="0" containsBlank="1" containsNumber="1" minValue="0.47058823529411092" maxValue="79.529411764705898"/>
    </cacheField>
    <cacheField name="P-value" numFmtId="0">
      <sharedItems containsString="0" containsBlank="1" containsNumber="1" minValue="1.1084774751821075E-4" maxValue="0.64588395113424824"/>
    </cacheField>
    <cacheField name="F crit" numFmtId="0">
      <sharedItems containsString="0" containsBlank="1" containsNumber="1" minValue="5.1432528497847176" maxValue="5.9873776072737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15504513889" createdVersion="8" refreshedVersion="8" minRefreshableVersion="3" recordCount="41" xr:uid="{3CF7C43F-ED77-4B9E-A213-9CB70577E778}">
  <cacheSource type="worksheet">
    <worksheetSource ref="A1:Q42" sheet="Sheet1"/>
  </cacheSource>
  <cacheFields count="17">
    <cacheField name="TransactionID" numFmtId="0">
      <sharedItems containsSemiMixedTypes="0" containsString="0" containsNumber="1" containsInteger="1" minValue="1" maxValue="41"/>
    </cacheField>
    <cacheField name="CustomerID" numFmtId="2">
      <sharedItems containsSemiMixedTypes="0" containsString="0" containsNumber="1" containsInteger="1" minValue="1189" maxValue="9838"/>
    </cacheField>
    <cacheField name="ProductID" numFmtId="2">
      <sharedItems containsSemiMixedTypes="0" containsString="0" containsNumber="1" containsInteger="1" minValue="150" maxValue="951"/>
    </cacheField>
    <cacheField name="ProductCategory" numFmtId="2">
      <sharedItems count="7">
        <s v="Clothing"/>
        <s v="Beauty"/>
        <s v="Toys"/>
        <s v="Electronics"/>
        <s v="Books"/>
        <s v="Sports"/>
        <s v="Home &amp; Kitchen"/>
      </sharedItems>
    </cacheField>
    <cacheField name="Quantity" numFmtId="2">
      <sharedItems containsSemiMixedTypes="0" containsString="0" containsNumber="1" containsInteger="1" minValue="1" maxValue="4"/>
    </cacheField>
    <cacheField name="Price" numFmtId="2">
      <sharedItems containsSemiMixedTypes="0" containsString="0" containsNumber="1" minValue="6.58" maxValue="954.41" count="41">
        <n v="801.66"/>
        <n v="225.03"/>
        <n v="544.99"/>
        <n v="157.02000000000001"/>
        <n v="155.51"/>
        <n v="225.65"/>
        <n v="631.96"/>
        <n v="522.87"/>
        <n v="202.66"/>
        <n v="401.52"/>
        <n v="346.31"/>
        <n v="434.15"/>
        <n v="189.87"/>
        <n v="559.1"/>
        <n v="29.01"/>
        <n v="541.5"/>
        <n v="218.68"/>
        <n v="439.07"/>
        <n v="849.82"/>
        <n v="886.69"/>
        <n v="137.79"/>
        <n v="6.58"/>
        <n v="888.2"/>
        <n v="109.35"/>
        <n v="144.08000000000001"/>
        <n v="576.59"/>
        <n v="954.41"/>
        <n v="513.82000000000005"/>
        <n v="767.89"/>
        <n v="653.79"/>
        <n v="361.67"/>
        <n v="327.64"/>
        <n v="623.45000000000005"/>
        <n v="316.88"/>
        <n v="560.67999999999995"/>
        <n v="423.86"/>
        <n v="629.44000000000005"/>
        <n v="330.09"/>
        <n v="862.67"/>
        <n v="511.03"/>
        <n v="42.59"/>
      </sharedItems>
    </cacheField>
    <cacheField name="Discount" numFmtId="2">
      <sharedItems containsSemiMixedTypes="0" containsString="0" containsNumber="1" minValue="0.01" maxValue="0.28999999999999998"/>
    </cacheField>
    <cacheField name="TransactionDate" numFmtId="0">
      <sharedItems containsSemiMixedTypes="0" containsDate="1" containsString="0" containsMixedTypes="1" minDate="2023-09-16T17:22:00" maxDate="1899-12-30T00:00:00"/>
    </cacheField>
    <cacheField name="PaymentMethod" numFmtId="0">
      <sharedItems count="5">
        <s v="Cash on Delivery"/>
        <s v="Debit Card"/>
        <s v="Bank Transfer"/>
        <s v="Credit Card"/>
        <s v="PayPal"/>
      </sharedItems>
    </cacheField>
    <cacheField name="CustomerLocation" numFmtId="0">
      <sharedItems/>
    </cacheField>
    <cacheField name="CustomerAge" numFmtId="2">
      <sharedItems containsSemiMixedTypes="0" containsString="0" containsNumber="1" containsInteger="1" minValue="20" maxValue="69" count="26">
        <n v="46"/>
        <n v="59"/>
        <n v="61"/>
        <n v="69"/>
        <n v="29"/>
        <n v="60"/>
        <n v="45"/>
        <n v="37"/>
        <n v="67"/>
        <n v="36"/>
        <n v="65"/>
        <n v="35"/>
        <n v="20"/>
        <n v="21"/>
        <n v="23"/>
        <n v="52"/>
        <n v="54"/>
        <n v="38"/>
        <n v="66"/>
        <n v="34"/>
        <n v="68"/>
        <n v="44"/>
        <n v="40"/>
        <n v="32"/>
        <n v="42"/>
        <n v="55"/>
      </sharedItems>
    </cacheField>
    <cacheField name="CustomerGender" numFmtId="0">
      <sharedItems count="3">
        <s v="Female"/>
        <s v="Other"/>
        <s v="Male"/>
      </sharedItems>
    </cacheField>
    <cacheField name="CustomerIncomeGroup" numFmtId="0">
      <sharedItems/>
    </cacheField>
    <cacheField name="CustomerLoyaltyScore" numFmtId="2">
      <sharedItems containsSemiMixedTypes="0" containsString="0" containsNumber="1" minValue="1.59" maxValue="97.73"/>
    </cacheField>
    <cacheField name="Region" numFmtId="2">
      <sharedItems count="4">
        <s v="North"/>
        <s v="South"/>
        <s v="East"/>
        <s v="West"/>
      </sharedItems>
    </cacheField>
    <cacheField name="Sales" numFmtId="2">
      <sharedItems containsSemiMixedTypes="0" containsString="0" containsNumber="1" containsInteger="1" minValue="2200" maxValue="8400" count="35">
        <n v="5200"/>
        <n v="3400"/>
        <n v="6100"/>
        <n v="2800"/>
        <n v="7500"/>
        <n v="4100"/>
        <n v="3200"/>
        <n v="5600"/>
        <n v="4900"/>
        <n v="2200"/>
        <n v="6800"/>
        <n v="3700"/>
        <n v="8100"/>
        <n v="4600"/>
        <n v="2900"/>
        <n v="6200"/>
        <n v="5300"/>
        <n v="3100"/>
        <n v="7200"/>
        <n v="4300"/>
        <n v="6700"/>
        <n v="2500"/>
        <n v="5800"/>
        <n v="3900"/>
        <n v="8400"/>
        <n v="4700"/>
        <n v="6500"/>
        <n v="7700"/>
        <n v="4500"/>
        <n v="3600"/>
        <n v="7000"/>
        <n v="5400"/>
        <n v="2600"/>
        <n v="5900"/>
        <n v="7300"/>
      </sharedItems>
    </cacheField>
    <cacheField name="Profit" numFmtId="0">
      <sharedItems containsString="0" containsBlank="1" containsNumber="1" minValue="1700" maxValue="7161.4522646160376" count="41">
        <m/>
        <n v="3400"/>
        <n v="5290"/>
        <n v="3547"/>
        <n v="6314.1"/>
        <n v="4764.2299999999996"/>
        <n v="3669.2689999999998"/>
        <n v="5020.7806999999993"/>
        <n v="4936.2342099999996"/>
        <n v="3020.8702629999998"/>
        <n v="5666.2610789"/>
        <n v="4289.8783236700001"/>
        <n v="6956.963497101"/>
        <n v="5307.0890491302998"/>
        <n v="3622.1267147390899"/>
        <n v="5426.6380144217273"/>
        <n v="5337.991404326518"/>
        <n v="3771.3974212979556"/>
        <n v="6171.4192263893865"/>
        <n v="4861.4257679168159"/>
        <n v="6148.427730375045"/>
        <n v="3594.5283191125136"/>
        <n v="5138.3584957337534"/>
        <n v="4271.5075487201257"/>
        <n v="7161.4522646160376"/>
        <n v="5438.435679384811"/>
        <n v="4011.5307038154433"/>
        <n v="5753.4592111446327"/>
        <n v="5646.0377633433891"/>
        <n v="3653.8113290030165"/>
        <n v="6486.143398700905"/>
        <n v="5095.8430196102709"/>
        <n v="5798.7529058830814"/>
        <n v="4259.6258717649243"/>
        <n v="4707.8877615294768"/>
        <n v="6312.3663284588429"/>
        <n v="4133.7098985376524"/>
        <n v="5020.1129695612954"/>
        <n v="3326.0338908683884"/>
        <n v="5127.8101672605162"/>
        <n v="1700"/>
      </sharedItems>
    </cacheField>
  </cacheFields>
  <extLst>
    <ext xmlns:x14="http://schemas.microsoft.com/office/spreadsheetml/2009/9/main" uri="{725AE2AE-9491-48be-B2B4-4EB974FC3084}">
      <x14:pivotCacheDefinition pivotCacheId="20699634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528767824071" backgroundQuery="1" createdVersion="8" refreshedVersion="8" minRefreshableVersion="3" recordCount="0" supportSubquery="1" supportAdvancedDrill="1" xr:uid="{0CB0028E-4762-40D0-8AD0-885F7318B443}">
  <cacheSource type="external" connectionId="1"/>
  <cacheFields count="5">
    <cacheField name="[Range].[PaymentMethod].[PaymentMethod]" caption="PaymentMethod" numFmtId="0" hierarchy="8" level="1">
      <sharedItems count="5">
        <s v="Bank Transfer"/>
        <s v="Cash on Delivery" u="1"/>
        <s v="Credit Card" u="1"/>
        <s v="Debit Card" u="1"/>
        <s v="PayPal" u="1"/>
      </sharedItems>
    </cacheField>
    <cacheField name="[Range].[Region].[Region]" caption="Region" numFmtId="0" hierarchy="14" level="1">
      <sharedItems containsSemiMixedTypes="0" containsNonDate="0" containsString="0"/>
    </cacheField>
    <cacheField name="[Range].[ProductCategory].[ProductCategory]" caption="ProductCategory" numFmtId="0" hierarchy="3" level="1">
      <sharedItems count="5">
        <s v="Beauty"/>
        <s v="Books"/>
        <s v="Electronics"/>
        <s v="Sports"/>
        <s v="Toys"/>
      </sharedItems>
    </cacheField>
    <cacheField name="[Measures].[Sum of Price]" caption="Sum of Price" numFmtId="0" hierarchy="33" level="32767"/>
    <cacheField name="[Measures].[Sum of Quantity]" caption="Sum of Quantity" numFmtId="0" hierarchy="32" level="32767"/>
  </cacheFields>
  <cacheHierarchies count="37">
    <cacheHierarchy uniqueName="[Range].[TransactionID]" caption="TransactionID" attribute="1" defaultMemberUniqueName="[Range].[TransactionID].[All]" allUniqueName="[Range].[Transaction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ProductID]" caption="ProductID" attribute="1" defaultMemberUniqueName="[Range].[ProductID].[All]" allUniqueName="[Range].[ProductID].[All]" dimensionUniqueName="[Range]" displayFolder="" count="0" memberValueDatatype="20" unbalanced="0"/>
    <cacheHierarchy uniqueName="[Range].[ProductCategory]" caption="ProductCategory" attribute="1" defaultMemberUniqueName="[Range].[ProductCategory].[All]" allUniqueName="[Range].[Product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TransactionDate]" caption="TransactionDate" attribute="1" defaultMemberUniqueName="[Range].[TransactionDate].[All]" allUniqueName="[Range].[TransactionDate].[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0"/>
      </fieldsUsage>
    </cacheHierarchy>
    <cacheHierarchy uniqueName="[Range].[CustomerLocation]" caption="CustomerLocation" attribute="1" defaultMemberUniqueName="[Range].[CustomerLocation].[All]" allUniqueName="[Range].[CustomerLocation].[All]" dimensionUniqueName="[Range]" displayFolder="" count="0" memberValueDatatype="130" unbalanced="0"/>
    <cacheHierarchy uniqueName="[Range].[CustomerAge]" caption="CustomerAge" attribute="1" defaultMemberUniqueName="[Range].[CustomerAge].[All]" allUniqueName="[Range].[CustomerAge].[All]" dimensionUniqueName="[Range]" displayFolder="" count="0" memberValueDatatype="20" unbalanced="0"/>
    <cacheHierarchy uniqueName="[Range].[CustomerGender]" caption="CustomerGender" attribute="1" defaultMemberUniqueName="[Range].[CustomerGender].[All]" allUniqueName="[Range].[CustomerGender].[All]" dimensionUniqueName="[Range]" displayFolder="" count="0" memberValueDatatype="130" unbalanced="0"/>
    <cacheHierarchy uniqueName="[Range].[CustomerIncomeGroup]" caption="CustomerIncomeGroup" attribute="1" defaultMemberUniqueName="[Range].[CustomerIncomeGroup].[All]" allUniqueName="[Range].[CustomerIncomeGroup].[All]" dimensionUniqueName="[Range]" displayFolder="" count="0" memberValueDatatype="130" unbalanced="0"/>
    <cacheHierarchy uniqueName="[Range].[CustomerLoyaltyScore]" caption="CustomerLoyaltyScore" attribute="1" defaultMemberUniqueName="[Range].[CustomerLoyaltyScore].[All]" allUniqueName="[Range].[CustomerLoyaltyScore].[All]" dimensionUniqueName="[Range]" displayFolder="" count="0" memberValueDatatype="5"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Electronics]" caption="Electronics" attribute="1" defaultMemberUniqueName="[Table1].[Electronics].[All]" allUniqueName="[Table1].[Electronics].[All]" dimensionUniqueName="[Table1]" displayFolder="" count="0" memberValueDatatype="20" unbalanced="0"/>
    <cacheHierarchy uniqueName="[Table1].[Electronics2]" caption="Electronics2" attribute="1" defaultMemberUniqueName="[Table1].[Electronics2].[All]" allUniqueName="[Table1].[Electronics2].[All]" dimensionUniqueName="[Table1]" displayFolder="" count="0" memberValueDatatype="20" unbalanced="0"/>
    <cacheHierarchy uniqueName="[Table1].[Beauty]" caption="Beauty" attribute="1" defaultMemberUniqueName="[Table1].[Beauty].[All]" allUniqueName="[Table1].[Beauty].[All]" dimensionUniqueName="[Table1]" displayFolder="" count="0" memberValueDatatype="20" unbalanced="0"/>
    <cacheHierarchy uniqueName="[Table1].[Beauty3]" caption="Beauty3" attribute="1" defaultMemberUniqueName="[Table1].[Beauty3].[All]" allUniqueName="[Table1].[Beauty3].[All]" dimensionUniqueName="[Table1]"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sales]" caption="sales" attribute="1" defaultMemberUniqueName="[Table2].[sales].[All]" allUniqueName="[Table2].[sales].[All]" dimensionUniqueName="[Table2]"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5"/>
        </ext>
      </extLst>
    </cacheHierarchy>
    <cacheHierarchy uniqueName="[Measures].[Sum of Electronics]" caption="Sum of Electronics" measure="1" displayFolder="" measureGroup="Table1"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Price]" caption="Sum of Price"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6"/>
        </ext>
      </extLst>
    </cacheHierarchy>
    <cacheHierarchy uniqueName="[Measures].[Count of CustomerGender]" caption="Count of CustomerGender" measure="1" displayFolder="" measureGroup="Range"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533154282406" backgroundQuery="1" createdVersion="8" refreshedVersion="8" minRefreshableVersion="3" recordCount="0" supportSubquery="1" supportAdvancedDrill="1" xr:uid="{9E56EC55-FD7C-46F6-A379-4F94B35C2435}">
  <cacheSource type="external" connectionId="1"/>
  <cacheFields count="6">
    <cacheField name="[Measures].[Sum of Profit]" caption="Sum of Profit" numFmtId="0" hierarchy="34" level="32767"/>
    <cacheField name="[Range].[Region].[Region]" caption="Region" numFmtId="0" hierarchy="14" level="1">
      <sharedItems count="4">
        <s v="East"/>
        <s v="North"/>
        <s v="South"/>
        <s v="West"/>
      </sharedItems>
    </cacheField>
    <cacheField name="[Range].[CustomerGender].[CustomerGender]" caption="CustomerGender" numFmtId="0" hierarchy="11" level="1">
      <sharedItems count="2">
        <s v="Female"/>
        <s v="Male"/>
      </sharedItems>
    </cacheField>
    <cacheField name="[Measures].[Sum of Discount]" caption="Sum of Discount" numFmtId="0" hierarchy="35" level="32767"/>
    <cacheField name="[Range].[ProductCategory].[ProductCategory]" caption="ProductCategory" numFmtId="0" hierarchy="3" level="1">
      <sharedItems containsSemiMixedTypes="0" containsNonDate="0" containsString="0"/>
    </cacheField>
    <cacheField name="[Range].[Discount].[Discount]" caption="Discount" numFmtId="0" hierarchy="6" level="1">
      <sharedItems containsSemiMixedTypes="0" containsNonDate="0" containsString="0"/>
    </cacheField>
  </cacheFields>
  <cacheHierarchies count="37">
    <cacheHierarchy uniqueName="[Range].[TransactionID]" caption="TransactionID" attribute="1" defaultMemberUniqueName="[Range].[TransactionID].[All]" allUniqueName="[Range].[TransactionID].[All]" dimensionUniqueName="[Range]" displayFolder="" count="2" memberValueDatatype="20" unbalanced="0"/>
    <cacheHierarchy uniqueName="[Range].[CustomerID]" caption="CustomerID" attribute="1" defaultMemberUniqueName="[Range].[CustomerID].[All]" allUniqueName="[Range].[CustomerID].[All]" dimensionUniqueName="[Range]" displayFolder="" count="2" memberValueDatatype="20" unbalanced="0"/>
    <cacheHierarchy uniqueName="[Range].[ProductID]" caption="ProductID" attribute="1" defaultMemberUniqueName="[Range].[ProductID].[All]" allUniqueName="[Range].[ProductID].[All]" dimensionUniqueName="[Range]" displayFolder="" count="2" memberValueDatatype="20" unbalanced="0"/>
    <cacheHierarchy uniqueName="[Range].[ProductCategory]" caption="ProductCategory" attribute="1" defaultMemberUniqueName="[Range].[ProductCategory].[All]" allUniqueName="[Range].[ProductCategory].[All]" dimensionUniqueName="[Range]" displayFolder="" count="2" memberValueDatatype="130" unbalanced="0">
      <fieldsUsage count="2">
        <fieldUsage x="-1"/>
        <fieldUsage x="4"/>
      </fieldsUsage>
    </cacheHierarchy>
    <cacheHierarchy uniqueName="[Range].[Quantity]" caption="Quantity" attribute="1" defaultMemberUniqueName="[Range].[Quantity].[All]" allUniqueName="[Range].[Quantity].[All]" dimensionUniqueName="[Range]" displayFolder="" count="2" memberValueDatatype="20" unbalanced="0"/>
    <cacheHierarchy uniqueName="[Range].[Price]" caption="Price" attribute="1" defaultMemberUniqueName="[Range].[Price].[All]" allUniqueName="[Range].[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fieldsUsage count="2">
        <fieldUsage x="-1"/>
        <fieldUsage x="5"/>
      </fieldsUsage>
    </cacheHierarchy>
    <cacheHierarchy uniqueName="[Range].[TransactionDate]" caption="TransactionDate" attribute="1" defaultMemberUniqueName="[Range].[TransactionDate].[All]" allUniqueName="[Range].[TransactionDate].[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CustomerLocation]" caption="CustomerLocation" attribute="1" defaultMemberUniqueName="[Range].[CustomerLocation].[All]" allUniqueName="[Range].[CustomerLocation].[All]" dimensionUniqueName="[Range]" displayFolder="" count="2" memberValueDatatype="130" unbalanced="0"/>
    <cacheHierarchy uniqueName="[Range].[CustomerAge]" caption="CustomerAge" attribute="1" defaultMemberUniqueName="[Range].[CustomerAge].[All]" allUniqueName="[Range].[CustomerAge].[All]" dimensionUniqueName="[Range]" displayFolder="" count="2" memberValueDatatype="20" unbalanced="0"/>
    <cacheHierarchy uniqueName="[Range].[CustomerGender]" caption="CustomerGender" attribute="1" defaultMemberUniqueName="[Range].[CustomerGender].[All]" allUniqueName="[Range].[CustomerGender].[All]" dimensionUniqueName="[Range]" displayFolder="" count="2" memberValueDatatype="130" unbalanced="0">
      <fieldsUsage count="2">
        <fieldUsage x="-1"/>
        <fieldUsage x="2"/>
      </fieldsUsage>
    </cacheHierarchy>
    <cacheHierarchy uniqueName="[Range].[CustomerIncomeGroup]" caption="CustomerIncomeGroup" attribute="1" defaultMemberUniqueName="[Range].[CustomerIncomeGroup].[All]" allUniqueName="[Range].[CustomerIncomeGroup].[All]" dimensionUniqueName="[Range]" displayFolder="" count="2" memberValueDatatype="130" unbalanced="0"/>
    <cacheHierarchy uniqueName="[Range].[CustomerLoyaltyScore]" caption="CustomerLoyaltyScore" attribute="1" defaultMemberUniqueName="[Range].[CustomerLoyaltyScore].[All]" allUniqueName="[Range].[CustomerLoyaltyScore].[All]" dimensionUniqueName="[Range]" displayFolder="" count="2" memberValueDatatype="5"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Table1].[Region]" caption="Region" attribute="1" defaultMemberUniqueName="[Table1].[Region].[All]" allUniqueName="[Table1].[Region].[All]" dimensionUniqueName="[Table1]" displayFolder="" count="2" memberValueDatatype="130" unbalanced="0"/>
    <cacheHierarchy uniqueName="[Table1].[Electronics]" caption="Electronics" attribute="1" defaultMemberUniqueName="[Table1].[Electronics].[All]" allUniqueName="[Table1].[Electronics].[All]" dimensionUniqueName="[Table1]" displayFolder="" count="2" memberValueDatatype="20" unbalanced="0"/>
    <cacheHierarchy uniqueName="[Table1].[Electronics2]" caption="Electronics2" attribute="1" defaultMemberUniqueName="[Table1].[Electronics2].[All]" allUniqueName="[Table1].[Electronics2].[All]" dimensionUniqueName="[Table1]" displayFolder="" count="2" memberValueDatatype="20" unbalanced="0"/>
    <cacheHierarchy uniqueName="[Table1].[Beauty]" caption="Beauty" attribute="1" defaultMemberUniqueName="[Table1].[Beauty].[All]" allUniqueName="[Table1].[Beauty].[All]" dimensionUniqueName="[Table1]" displayFolder="" count="2" memberValueDatatype="20" unbalanced="0"/>
    <cacheHierarchy uniqueName="[Table1].[Beauty3]" caption="Beauty3" attribute="1" defaultMemberUniqueName="[Table1].[Beauty3].[All]" allUniqueName="[Table1].[Beauty3].[All]" dimensionUniqueName="[Table1]" displayFolder="" count="2" memberValueDatatype="20" unbalanced="0"/>
    <cacheHierarchy uniqueName="[Table2].[region]" caption="region" attribute="1" defaultMemberUniqueName="[Table2].[region].[All]" allUniqueName="[Table2].[region].[All]" dimensionUniqueName="[Table2]" displayFolder="" count="2"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sales]" caption="sales" attribute="1" defaultMemberUniqueName="[Table2].[sales].[All]" allUniqueName="[Table2].[sales].[All]" dimensionUniqueName="[Table2]"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5"/>
        </ext>
      </extLst>
    </cacheHierarchy>
    <cacheHierarchy uniqueName="[Measures].[Sum of Electronics]" caption="Sum of Electronics" measure="1" displayFolder="" measureGroup="Table1"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iscount]" caption="Sum of Discount" measure="1" displayFolder="" measureGroup="Range"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CustomerGender]" caption="Count of CustomerGender" measure="1" displayFolder="" measureGroup="Range"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527864004631" backgroundQuery="1" createdVersion="3" refreshedVersion="8" minRefreshableVersion="3" recordCount="0" supportSubquery="1" supportAdvancedDrill="1" xr:uid="{8D745DAF-8BFA-4DBB-B440-64E09888BB6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TransactionID]" caption="TransactionID" attribute="1" defaultMemberUniqueName="[Range].[TransactionID].[All]" allUniqueName="[Range].[Transaction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ProductID]" caption="ProductID" attribute="1" defaultMemberUniqueName="[Range].[ProductID].[All]" allUniqueName="[Range].[ProductID].[All]" dimensionUniqueName="[Range]" displayFolder="" count="0" memberValueDatatype="20" unbalanced="0"/>
    <cacheHierarchy uniqueName="[Range].[ProductCategory]" caption="ProductCategory" attribute="1" defaultMemberUniqueName="[Range].[ProductCategory].[All]" allUniqueName="[Range].[Product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2" memberValueDatatype="5" unbalanced="0"/>
    <cacheHierarchy uniqueName="[Range].[TransactionDate]" caption="TransactionDate" attribute="1" defaultMemberUniqueName="[Range].[TransactionDate].[All]" allUniqueName="[Range].[TransactionDate].[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CustomerLocation]" caption="CustomerLocation" attribute="1" defaultMemberUniqueName="[Range].[CustomerLocation].[All]" allUniqueName="[Range].[CustomerLocation].[All]" dimensionUniqueName="[Range]" displayFolder="" count="0" memberValueDatatype="130" unbalanced="0"/>
    <cacheHierarchy uniqueName="[Range].[CustomerAge]" caption="CustomerAge" attribute="1" defaultMemberUniqueName="[Range].[CustomerAge].[All]" allUniqueName="[Range].[CustomerAge].[All]" dimensionUniqueName="[Range]" displayFolder="" count="0" memberValueDatatype="20" unbalanced="0"/>
    <cacheHierarchy uniqueName="[Range].[CustomerGender]" caption="CustomerGender" attribute="1" defaultMemberUniqueName="[Range].[CustomerGender].[All]" allUniqueName="[Range].[CustomerGender].[All]" dimensionUniqueName="[Range]" displayFolder="" count="0" memberValueDatatype="130" unbalanced="0"/>
    <cacheHierarchy uniqueName="[Range].[CustomerIncomeGroup]" caption="CustomerIncomeGroup" attribute="1" defaultMemberUniqueName="[Range].[CustomerIncomeGroup].[All]" allUniqueName="[Range].[CustomerIncomeGroup].[All]" dimensionUniqueName="[Range]" displayFolder="" count="0" memberValueDatatype="130" unbalanced="0"/>
    <cacheHierarchy uniqueName="[Range].[CustomerLoyaltyScore]" caption="CustomerLoyaltyScore" attribute="1" defaultMemberUniqueName="[Range].[CustomerLoyaltyScore].[All]" allUniqueName="[Range].[CustomerLoyaltyScore].[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Electronics]" caption="Electronics" attribute="1" defaultMemberUniqueName="[Table1].[Electronics].[All]" allUniqueName="[Table1].[Electronics].[All]" dimensionUniqueName="[Table1]" displayFolder="" count="0" memberValueDatatype="20" unbalanced="0"/>
    <cacheHierarchy uniqueName="[Table1].[Electronics2]" caption="Electronics2" attribute="1" defaultMemberUniqueName="[Table1].[Electronics2].[All]" allUniqueName="[Table1].[Electronics2].[All]" dimensionUniqueName="[Table1]" displayFolder="" count="0" memberValueDatatype="20" unbalanced="0"/>
    <cacheHierarchy uniqueName="[Table1].[Beauty]" caption="Beauty" attribute="1" defaultMemberUniqueName="[Table1].[Beauty].[All]" allUniqueName="[Table1].[Beauty].[All]" dimensionUniqueName="[Table1]" displayFolder="" count="0" memberValueDatatype="20" unbalanced="0"/>
    <cacheHierarchy uniqueName="[Table1].[Beauty3]" caption="Beauty3" attribute="1" defaultMemberUniqueName="[Table1].[Beauty3].[All]" allUniqueName="[Table1].[Beauty3].[All]" dimensionUniqueName="[Table1]"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sales]" caption="sales" attribute="1" defaultMemberUniqueName="[Table2].[sales].[All]" allUniqueName="[Table2].[sales].[All]" dimensionUniqueName="[Table2]"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5"/>
        </ext>
      </extLst>
    </cacheHierarchy>
    <cacheHierarchy uniqueName="[Measures].[Sum of Electronics]" caption="Sum of Electronics" measure="1" displayFolder="" measureGroup="Table1"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1344398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25.33333333333337"/>
    <n v="1"/>
    <n v="225.33333333333337"/>
    <n v="79.529411764705898"/>
    <n v="1.1084774751821075E-4"/>
    <n v="5.9873776072737011"/>
  </r>
  <r>
    <x v="1"/>
    <n v="288.66666666666674"/>
    <n v="2"/>
    <n v="144.33333333333337"/>
    <n v="50.941176470588246"/>
    <n v="1.7202933926137572E-4"/>
    <n v="5.1432528497847176"/>
  </r>
  <r>
    <x v="2"/>
    <n v="2.6666666666666288"/>
    <n v="2"/>
    <n v="1.3333333333333144"/>
    <n v="0.47058823529411092"/>
    <n v="0.64588395113424824"/>
    <n v="5.1432528497847176"/>
  </r>
  <r>
    <x v="3"/>
    <n v="17"/>
    <n v="6"/>
    <n v="2.833333333333333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n v="8270"/>
    <n v="295"/>
    <x v="0"/>
    <n v="1"/>
    <x v="0"/>
    <n v="0.13"/>
    <d v="2023-12-22T10:35:00"/>
    <x v="0"/>
    <s v="New Juan"/>
    <x v="0"/>
    <x v="0"/>
    <s v="Medium"/>
    <n v="83.36"/>
    <x v="0"/>
    <x v="0"/>
    <x v="0"/>
  </r>
  <r>
    <n v="2"/>
    <n v="1860"/>
    <n v="546"/>
    <x v="1"/>
    <n v="1"/>
    <x v="1"/>
    <n v="0.06"/>
    <d v="2024-05-05T10:40:00"/>
    <x v="1"/>
    <s v="South Julie"/>
    <x v="1"/>
    <x v="1"/>
    <s v="High"/>
    <n v="58.88"/>
    <x v="1"/>
    <x v="1"/>
    <x v="1"/>
  </r>
  <r>
    <n v="3"/>
    <n v="6390"/>
    <n v="430"/>
    <x v="2"/>
    <n v="2"/>
    <x v="2"/>
    <n v="0.24"/>
    <d v="2023-12-04T05:22:00"/>
    <x v="1"/>
    <s v="West Carrieview"/>
    <x v="2"/>
    <x v="0"/>
    <s v="High"/>
    <n v="53.99"/>
    <x v="2"/>
    <x v="2"/>
    <x v="2"/>
  </r>
  <r>
    <n v="4"/>
    <n v="6191"/>
    <n v="807"/>
    <x v="1"/>
    <n v="2"/>
    <x v="3"/>
    <n v="0.01"/>
    <d v="2024-01-02T11:11:00"/>
    <x v="2"/>
    <s v="Christianberg"/>
    <x v="3"/>
    <x v="0"/>
    <s v="Low"/>
    <n v="11.73"/>
    <x v="3"/>
    <x v="3"/>
    <x v="3"/>
  </r>
  <r>
    <n v="5"/>
    <n v="6734"/>
    <n v="319"/>
    <x v="3"/>
    <n v="2"/>
    <x v="4"/>
    <n v="0.14000000000000001"/>
    <d v="2024-06-18T01:01:00"/>
    <x v="1"/>
    <s v="South Williamhaven"/>
    <x v="4"/>
    <x v="1"/>
    <s v="High"/>
    <n v="34.79"/>
    <x v="0"/>
    <x v="4"/>
    <x v="4"/>
  </r>
  <r>
    <n v="6"/>
    <n v="7265"/>
    <n v="282"/>
    <x v="4"/>
    <n v="3"/>
    <x v="5"/>
    <n v="0.18"/>
    <d v="2024-03-06T06:15:00"/>
    <x v="2"/>
    <s v="Stephenfort"/>
    <x v="5"/>
    <x v="2"/>
    <s v="High"/>
    <n v="25.78"/>
    <x v="1"/>
    <x v="5"/>
    <x v="5"/>
  </r>
  <r>
    <n v="7"/>
    <n v="1466"/>
    <n v="276"/>
    <x v="1"/>
    <n v="3"/>
    <x v="6"/>
    <n v="0.09"/>
    <d v="2023-10-15T13:30:00"/>
    <x v="3"/>
    <s v="North Terristad"/>
    <x v="3"/>
    <x v="2"/>
    <s v="Low"/>
    <n v="68.36"/>
    <x v="2"/>
    <x v="6"/>
    <x v="6"/>
  </r>
  <r>
    <n v="8"/>
    <n v="5426"/>
    <n v="574"/>
    <x v="5"/>
    <n v="1"/>
    <x v="7"/>
    <n v="0.28999999999999998"/>
    <d v="2024-05-16T01:46:00"/>
    <x v="0"/>
    <s v="Pachecotown"/>
    <x v="6"/>
    <x v="0"/>
    <s v="High"/>
    <n v="19.23"/>
    <x v="3"/>
    <x v="7"/>
    <x v="7"/>
  </r>
  <r>
    <n v="9"/>
    <n v="6578"/>
    <n v="948"/>
    <x v="4"/>
    <n v="4"/>
    <x v="8"/>
    <n v="0.12"/>
    <d v="2024-08-04T17:13:00"/>
    <x v="0"/>
    <s v="Port Philipberg"/>
    <x v="7"/>
    <x v="2"/>
    <s v="Low"/>
    <n v="28.61"/>
    <x v="0"/>
    <x v="8"/>
    <x v="8"/>
  </r>
  <r>
    <n v="10"/>
    <n v="9322"/>
    <n v="459"/>
    <x v="2"/>
    <n v="3"/>
    <x v="9"/>
    <n v="0.23"/>
    <d v="2023-12-18T18:38:00"/>
    <x v="0"/>
    <s v="Jenniferfurt"/>
    <x v="8"/>
    <x v="0"/>
    <s v="Low"/>
    <n v="35.18"/>
    <x v="1"/>
    <x v="9"/>
    <x v="9"/>
  </r>
  <r>
    <n v="11"/>
    <n v="2685"/>
    <n v="745"/>
    <x v="0"/>
    <n v="3"/>
    <x v="10"/>
    <n v="0.06"/>
    <d v="2024-05-26T02:56:00"/>
    <x v="0"/>
    <s v="Lake Carolyn"/>
    <x v="9"/>
    <x v="1"/>
    <s v="Low"/>
    <n v="76.819999999999993"/>
    <x v="2"/>
    <x v="10"/>
    <x v="10"/>
  </r>
  <r>
    <n v="12"/>
    <n v="1769"/>
    <n v="564"/>
    <x v="5"/>
    <n v="1"/>
    <x v="11"/>
    <n v="0.05"/>
    <d v="2023-09-26T05:18:00"/>
    <x v="2"/>
    <s v="Amandaborough"/>
    <x v="2"/>
    <x v="1"/>
    <s v="High"/>
    <n v="26.24"/>
    <x v="3"/>
    <x v="11"/>
    <x v="11"/>
  </r>
  <r>
    <n v="13"/>
    <n v="7949"/>
    <n v="334"/>
    <x v="3"/>
    <n v="3"/>
    <x v="12"/>
    <n v="0.25"/>
    <d v="2023-12-13T23:53:00"/>
    <x v="3"/>
    <s v="South Maria"/>
    <x v="10"/>
    <x v="1"/>
    <s v="Low"/>
    <n v="39.909999999999997"/>
    <x v="0"/>
    <x v="12"/>
    <x v="12"/>
  </r>
  <r>
    <n v="14"/>
    <n v="3433"/>
    <n v="536"/>
    <x v="6"/>
    <n v="1"/>
    <x v="13"/>
    <n v="0.15"/>
    <d v="2023-12-02T07:44:00"/>
    <x v="1"/>
    <s v="West Marissa"/>
    <x v="11"/>
    <x v="2"/>
    <s v="Low"/>
    <n v="69.39"/>
    <x v="1"/>
    <x v="13"/>
    <x v="13"/>
  </r>
  <r>
    <n v="15"/>
    <n v="6311"/>
    <n v="239"/>
    <x v="2"/>
    <n v="3"/>
    <x v="14"/>
    <n v="0.26"/>
    <d v="2024-03-01T17:49:00"/>
    <x v="0"/>
    <s v="Austinburgh"/>
    <x v="12"/>
    <x v="1"/>
    <s v="High"/>
    <n v="10.33"/>
    <x v="2"/>
    <x v="14"/>
    <x v="14"/>
  </r>
  <r>
    <n v="16"/>
    <n v="6051"/>
    <n v="587"/>
    <x v="2"/>
    <n v="2"/>
    <x v="15"/>
    <n v="0.22"/>
    <d v="2024-08-12T12:13:00"/>
    <x v="2"/>
    <s v="Lake Jesse"/>
    <x v="0"/>
    <x v="1"/>
    <s v="Low"/>
    <n v="41.77"/>
    <x v="3"/>
    <x v="15"/>
    <x v="15"/>
  </r>
  <r>
    <n v="17"/>
    <n v="7420"/>
    <n v="868"/>
    <x v="1"/>
    <n v="4"/>
    <x v="16"/>
    <n v="0.19"/>
    <d v="2024-07-24T08:49:00"/>
    <x v="3"/>
    <s v="Marioburgh"/>
    <x v="13"/>
    <x v="1"/>
    <s v="Medium"/>
    <n v="9.93"/>
    <x v="0"/>
    <x v="16"/>
    <x v="16"/>
  </r>
  <r>
    <n v="18"/>
    <n v="2184"/>
    <n v="384"/>
    <x v="0"/>
    <n v="2"/>
    <x v="17"/>
    <n v="0.26"/>
    <d v="2024-06-14T18:03:00"/>
    <x v="4"/>
    <s v="Ryanhaven"/>
    <x v="14"/>
    <x v="1"/>
    <s v="Medium"/>
    <n v="97.73"/>
    <x v="1"/>
    <x v="17"/>
    <x v="17"/>
  </r>
  <r>
    <n v="19"/>
    <n v="5555"/>
    <n v="701"/>
    <x v="4"/>
    <n v="4"/>
    <x v="18"/>
    <n v="0.12"/>
    <d v="2024-03-02T05:18:00"/>
    <x v="0"/>
    <s v="Dickersonmouth"/>
    <x v="15"/>
    <x v="0"/>
    <s v="Low"/>
    <n v="54.32"/>
    <x v="2"/>
    <x v="18"/>
    <x v="18"/>
  </r>
  <r>
    <n v="20"/>
    <n v="4385"/>
    <n v="427"/>
    <x v="3"/>
    <n v="1"/>
    <x v="19"/>
    <n v="0.28000000000000003"/>
    <d v="2024-05-19T13:22:00"/>
    <x v="1"/>
    <s v="Annaborough"/>
    <x v="0"/>
    <x v="1"/>
    <s v="Low"/>
    <n v="57.35"/>
    <x v="3"/>
    <x v="19"/>
    <x v="19"/>
  </r>
  <r>
    <n v="21"/>
    <n v="7396"/>
    <n v="150"/>
    <x v="2"/>
    <n v="2"/>
    <x v="20"/>
    <n v="0.04"/>
    <d v="2024-05-13T10:04:00"/>
    <x v="3"/>
    <s v="Ramirezburgh"/>
    <x v="5"/>
    <x v="2"/>
    <s v="Medium"/>
    <n v="41.08"/>
    <x v="0"/>
    <x v="20"/>
    <x v="20"/>
  </r>
  <r>
    <n v="22"/>
    <n v="9666"/>
    <n v="797"/>
    <x v="3"/>
    <n v="4"/>
    <x v="21"/>
    <n v="0.04"/>
    <d v="2024-04-05T20:50:00"/>
    <x v="4"/>
    <s v="Sextonberg"/>
    <x v="16"/>
    <x v="0"/>
    <s v="Medium"/>
    <n v="88.02"/>
    <x v="1"/>
    <x v="21"/>
    <x v="21"/>
  </r>
  <r>
    <n v="23"/>
    <n v="3558"/>
    <n v="577"/>
    <x v="2"/>
    <n v="3"/>
    <x v="22"/>
    <n v="0.04"/>
    <d v="2023-11-17T05:30:00"/>
    <x v="0"/>
    <s v="Beasleyshire"/>
    <x v="4"/>
    <x v="1"/>
    <s v="Medium"/>
    <n v="67.510000000000005"/>
    <x v="2"/>
    <x v="22"/>
    <x v="22"/>
  </r>
  <r>
    <n v="24"/>
    <n v="8849"/>
    <n v="385"/>
    <x v="2"/>
    <n v="4"/>
    <x v="23"/>
    <n v="0.15"/>
    <d v="2024-08-05T14:07:00"/>
    <x v="1"/>
    <s v="Lake Brittneyland"/>
    <x v="6"/>
    <x v="0"/>
    <s v="High"/>
    <n v="18.760000000000002"/>
    <x v="3"/>
    <x v="23"/>
    <x v="23"/>
  </r>
  <r>
    <n v="25"/>
    <n v="3047"/>
    <n v="419"/>
    <x v="3"/>
    <n v="4"/>
    <x v="24"/>
    <n v="0.28000000000000003"/>
    <d v="2024-02-24T01:14:00"/>
    <x v="0"/>
    <s v="South John"/>
    <x v="17"/>
    <x v="2"/>
    <s v="High"/>
    <n v="33.4"/>
    <x v="0"/>
    <x v="24"/>
    <x v="24"/>
  </r>
  <r>
    <n v="26"/>
    <n v="3747"/>
    <n v="733"/>
    <x v="5"/>
    <n v="4"/>
    <x v="25"/>
    <n v="0.2"/>
    <d v="2024-03-04T09:18:00"/>
    <x v="2"/>
    <s v="New Devin"/>
    <x v="15"/>
    <x v="2"/>
    <s v="Low"/>
    <n v="21.91"/>
    <x v="1"/>
    <x v="25"/>
    <x v="25"/>
  </r>
  <r>
    <n v="27"/>
    <n v="1189"/>
    <n v="278"/>
    <x v="3"/>
    <n v="3"/>
    <x v="26"/>
    <n v="0.11"/>
    <d v="2023-10-26T07:12:00"/>
    <x v="4"/>
    <s v="Lake Denise"/>
    <x v="18"/>
    <x v="2"/>
    <s v="Low"/>
    <n v="81.489999999999995"/>
    <x v="2"/>
    <x v="1"/>
    <x v="26"/>
  </r>
  <r>
    <n v="28"/>
    <n v="3734"/>
    <n v="231"/>
    <x v="6"/>
    <n v="3"/>
    <x v="27"/>
    <n v="0.05"/>
    <d v="2024-08-04T12:39:00"/>
    <x v="3"/>
    <s v="South Susan"/>
    <x v="19"/>
    <x v="2"/>
    <s v="Low"/>
    <n v="77.27"/>
    <x v="3"/>
    <x v="26"/>
    <x v="27"/>
  </r>
  <r>
    <n v="29"/>
    <n v="4005"/>
    <n v="699"/>
    <x v="5"/>
    <n v="1"/>
    <x v="28"/>
    <n v="0.11"/>
    <d v="2024-05-06T01:39:00"/>
    <x v="3"/>
    <s v="Johnsonchester"/>
    <x v="15"/>
    <x v="1"/>
    <s v="High"/>
    <n v="26.78"/>
    <x v="0"/>
    <x v="7"/>
    <x v="28"/>
  </r>
  <r>
    <n v="30"/>
    <n v="5658"/>
    <n v="829"/>
    <x v="1"/>
    <n v="4"/>
    <x v="29"/>
    <n v="0.01"/>
    <d v="2023-10-23T11:34:00"/>
    <x v="0"/>
    <s v="Martinberg"/>
    <x v="20"/>
    <x v="0"/>
    <s v="Low"/>
    <n v="39.340000000000003"/>
    <x v="1"/>
    <x v="3"/>
    <x v="29"/>
  </r>
  <r>
    <n v="31"/>
    <n v="2899"/>
    <n v="299"/>
    <x v="6"/>
    <n v="1"/>
    <x v="30"/>
    <n v="0.06"/>
    <d v="2024-01-10T02:42:00"/>
    <x v="3"/>
    <s v="Lake Billy"/>
    <x v="14"/>
    <x v="1"/>
    <s v="Low"/>
    <n v="91.11"/>
    <x v="2"/>
    <x v="27"/>
    <x v="30"/>
  </r>
  <r>
    <n v="32"/>
    <n v="8734"/>
    <n v="706"/>
    <x v="3"/>
    <n v="1"/>
    <x v="31"/>
    <n v="0.28000000000000003"/>
    <d v="2024-05-10T18:45:00"/>
    <x v="3"/>
    <s v="Josephborough"/>
    <x v="21"/>
    <x v="0"/>
    <s v="Medium"/>
    <n v="2.78"/>
    <x v="3"/>
    <x v="28"/>
    <x v="31"/>
  </r>
  <r>
    <n v="33"/>
    <n v="2267"/>
    <n v="693"/>
    <x v="1"/>
    <n v="1"/>
    <x v="32"/>
    <n v="0.13"/>
    <d v="2024-06-26T03:10:00"/>
    <x v="4"/>
    <s v="Noahbury"/>
    <x v="8"/>
    <x v="1"/>
    <s v="High"/>
    <n v="65.39"/>
    <x v="0"/>
    <x v="2"/>
    <x v="32"/>
  </r>
  <r>
    <n v="34"/>
    <n v="2528"/>
    <n v="544"/>
    <x v="3"/>
    <n v="3"/>
    <x v="33"/>
    <n v="0.16"/>
    <d v="2023-09-16T17:22:00"/>
    <x v="2"/>
    <s v="Bowmanport"/>
    <x v="22"/>
    <x v="2"/>
    <s v="High"/>
    <n v="22.59"/>
    <x v="1"/>
    <x v="29"/>
    <x v="33"/>
  </r>
  <r>
    <n v="35"/>
    <n v="4556"/>
    <n v="773"/>
    <x v="4"/>
    <n v="1"/>
    <x v="34"/>
    <n v="0.22"/>
    <d v="2023-11-18T18:04:00"/>
    <x v="2"/>
    <s v="South Melvinville"/>
    <x v="23"/>
    <x v="0"/>
    <s v="High"/>
    <n v="50.36"/>
    <x v="2"/>
    <x v="8"/>
    <x v="34"/>
  </r>
  <r>
    <n v="36"/>
    <n v="4890"/>
    <n v="414"/>
    <x v="5"/>
    <n v="3"/>
    <x v="35"/>
    <n v="0.26"/>
    <d v="2024-01-14T01:16:00"/>
    <x v="0"/>
    <s v="East Brittany"/>
    <x v="8"/>
    <x v="2"/>
    <s v="Low"/>
    <n v="16.57"/>
    <x v="3"/>
    <x v="30"/>
    <x v="35"/>
  </r>
  <r>
    <n v="37"/>
    <n v="9838"/>
    <n v="900"/>
    <x v="1"/>
    <n v="1"/>
    <x v="36"/>
    <n v="0.23"/>
    <n v="45242.0625"/>
    <x v="1"/>
    <s v="Lake Stephaniefurt"/>
    <x v="24"/>
    <x v="1"/>
    <s v="High"/>
    <n v="97.39"/>
    <x v="0"/>
    <x v="6"/>
    <x v="36"/>
  </r>
  <r>
    <n v="38"/>
    <n v="6393"/>
    <n v="907"/>
    <x v="4"/>
    <n v="1"/>
    <x v="37"/>
    <n v="0.21"/>
    <n v="45521.574999999997"/>
    <x v="3"/>
    <s v="North Adam"/>
    <x v="7"/>
    <x v="1"/>
    <s v="High"/>
    <n v="1.59"/>
    <x v="1"/>
    <x v="31"/>
    <x v="37"/>
  </r>
  <r>
    <n v="39"/>
    <n v="9792"/>
    <n v="172"/>
    <x v="3"/>
    <n v="4"/>
    <x v="38"/>
    <n v="0.01"/>
    <n v="45279.065972222219"/>
    <x v="4"/>
    <s v="Sancheztown"/>
    <x v="25"/>
    <x v="0"/>
    <s v="High"/>
    <n v="34.06"/>
    <x v="2"/>
    <x v="32"/>
    <x v="38"/>
  </r>
  <r>
    <n v="40"/>
    <n v="9433"/>
    <n v="951"/>
    <x v="4"/>
    <n v="1"/>
    <x v="39"/>
    <n v="0.01"/>
    <n v="45250.852777777778"/>
    <x v="3"/>
    <s v="Burtonmouth"/>
    <x v="22"/>
    <x v="2"/>
    <s v="Low"/>
    <n v="85.58"/>
    <x v="3"/>
    <x v="33"/>
    <x v="39"/>
  </r>
  <r>
    <n v="41"/>
    <n v="8513"/>
    <n v="907"/>
    <x v="2"/>
    <n v="2"/>
    <x v="40"/>
    <n v="0.06"/>
    <d v="2024-08-26T07:33:00"/>
    <x v="0"/>
    <s v="Lake Josephmouth"/>
    <x v="20"/>
    <x v="2"/>
    <s v="Low"/>
    <n v="51.92"/>
    <x v="0"/>
    <x v="34"/>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A027F5-91F2-4CF6-8EDB-CBF0EC9F1D86}" name="PivotTable5"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11" firstHeaderRow="1" firstDataRow="3" firstDataCol="1" rowPageCount="1" colPageCount="1"/>
  <pivotFields count="5">
    <pivotField axis="axisCol" allDrilled="1" showAll="0" dataSourceSort="1" defaultAttributeDrillState="1">
      <items count="6">
        <item s="1" x="0"/>
        <item x="1"/>
        <item x="2"/>
        <item x="3"/>
        <item x="4"/>
        <item t="default"/>
      </items>
    </pivotField>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2"/>
  </rowFields>
  <rowItems count="6">
    <i>
      <x/>
    </i>
    <i>
      <x v="1"/>
    </i>
    <i>
      <x v="2"/>
    </i>
    <i>
      <x v="3"/>
    </i>
    <i>
      <x v="4"/>
    </i>
    <i t="grand">
      <x/>
    </i>
  </rowItems>
  <colFields count="2">
    <field x="0"/>
    <field x="-2"/>
  </colFields>
  <colItems count="4">
    <i>
      <x/>
      <x/>
    </i>
    <i r="1" i="1">
      <x v="1"/>
    </i>
    <i t="grand">
      <x/>
    </i>
    <i t="grand" i="1">
      <x/>
    </i>
  </colItems>
  <pageFields count="1">
    <pageField fld="1" hier="14" name="[Range].[Region].[All]" cap="All"/>
  </pageFields>
  <dataFields count="2">
    <dataField name="Sum of Price" fld="3" baseField="0" baseItem="0"/>
    <dataField name="Sum of Quantity" fld="4"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1"/>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1"/>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3"/>
          </reference>
        </references>
      </pivotArea>
    </chartFormat>
    <chartFormat chart="0" format="7" series="1">
      <pivotArea type="data" outline="0" fieldPosition="0">
        <references count="2">
          <reference field="4294967294" count="1" selected="0">
            <x v="1"/>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4"/>
          </reference>
        </references>
      </pivotArea>
    </chartFormat>
    <chartFormat chart="0" format="9" series="1">
      <pivotArea type="data" outline="0" fieldPosition="0">
        <references count="2">
          <reference field="4294967294" count="1" selected="0">
            <x v="1"/>
          </reference>
          <reference field="0"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8"/>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BE2067-0C44-44A8-B355-AD7F232B7CE0}" name="PivotTable6" cacheId="2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rowPageCount="1" colPageCount="1"/>
  <pivotFields count="6">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s="1" x="0"/>
        <item s="1"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1"/>
    <field x="2"/>
  </rowFields>
  <rowItems count="13">
    <i>
      <x/>
    </i>
    <i r="1">
      <x/>
    </i>
    <i r="1">
      <x v="1"/>
    </i>
    <i>
      <x v="1"/>
    </i>
    <i r="1">
      <x/>
    </i>
    <i r="1">
      <x v="1"/>
    </i>
    <i>
      <x v="2"/>
    </i>
    <i r="1">
      <x/>
    </i>
    <i r="1">
      <x v="1"/>
    </i>
    <i>
      <x v="3"/>
    </i>
    <i r="1">
      <x/>
    </i>
    <i r="1">
      <x v="1"/>
    </i>
    <i t="grand">
      <x/>
    </i>
  </rowItems>
  <colFields count="1">
    <field x="-2"/>
  </colFields>
  <colItems count="2">
    <i>
      <x/>
    </i>
    <i i="1">
      <x v="1"/>
    </i>
  </colItems>
  <pageFields count="1">
    <pageField fld="4" hier="3" name="[Range].[ProductCategory].[All]" cap="All"/>
  </pageFields>
  <dataFields count="2">
    <dataField name="Sum of Profit" fld="0" baseField="0" baseItem="0"/>
    <dataField name="Sum of Discount" fld="3" baseField="0" baseItem="0"/>
  </dataField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Q$4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8E6DB-AC06-4C19-954B-4B46C1DB23C4}"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20:M129" firstHeaderRow="1" firstDataRow="2" firstDataCol="1" rowPageCount="1" colPageCount="1"/>
  <pivotFields count="17">
    <pivotField showAll="0"/>
    <pivotField numFmtId="2" showAll="0"/>
    <pivotField numFmtId="2" showAll="0"/>
    <pivotField axis="axisRow" showAll="0">
      <items count="8">
        <item x="1"/>
        <item x="4"/>
        <item x="0"/>
        <item x="3"/>
        <item x="6"/>
        <item x="5"/>
        <item x="2"/>
        <item t="default"/>
      </items>
    </pivotField>
    <pivotField numFmtId="2" showAll="0"/>
    <pivotField numFmtId="2" showAll="0">
      <items count="42">
        <item x="21"/>
        <item x="14"/>
        <item x="40"/>
        <item x="23"/>
        <item x="20"/>
        <item x="24"/>
        <item x="4"/>
        <item x="3"/>
        <item x="12"/>
        <item x="8"/>
        <item x="16"/>
        <item x="1"/>
        <item x="5"/>
        <item x="33"/>
        <item x="31"/>
        <item x="37"/>
        <item x="10"/>
        <item x="30"/>
        <item x="9"/>
        <item x="35"/>
        <item x="11"/>
        <item x="17"/>
        <item x="39"/>
        <item x="27"/>
        <item x="7"/>
        <item x="15"/>
        <item x="2"/>
        <item x="13"/>
        <item x="34"/>
        <item x="25"/>
        <item x="32"/>
        <item x="36"/>
        <item x="6"/>
        <item x="29"/>
        <item x="28"/>
        <item x="0"/>
        <item x="18"/>
        <item x="38"/>
        <item x="19"/>
        <item x="22"/>
        <item x="26"/>
        <item t="default"/>
      </items>
    </pivotField>
    <pivotField numFmtId="2" showAll="0"/>
    <pivotField showAll="0"/>
    <pivotField axis="axisCol" showAll="0">
      <items count="6">
        <item x="2"/>
        <item x="0"/>
        <item x="3"/>
        <item x="1"/>
        <item x="4"/>
        <item t="default"/>
      </items>
    </pivotField>
    <pivotField showAll="0"/>
    <pivotField numFmtId="2" showAll="0">
      <items count="27">
        <item x="12"/>
        <item x="13"/>
        <item x="14"/>
        <item x="4"/>
        <item x="23"/>
        <item x="19"/>
        <item x="11"/>
        <item x="9"/>
        <item x="7"/>
        <item x="17"/>
        <item x="22"/>
        <item x="24"/>
        <item x="21"/>
        <item x="6"/>
        <item x="0"/>
        <item x="15"/>
        <item x="16"/>
        <item x="25"/>
        <item x="1"/>
        <item x="5"/>
        <item x="2"/>
        <item x="10"/>
        <item x="18"/>
        <item x="8"/>
        <item x="20"/>
        <item x="3"/>
        <item t="default"/>
      </items>
    </pivotField>
    <pivotField showAll="0">
      <items count="4">
        <item x="0"/>
        <item x="2"/>
        <item x="1"/>
        <item t="default"/>
      </items>
    </pivotField>
    <pivotField showAll="0"/>
    <pivotField numFmtId="2" showAll="0"/>
    <pivotField axis="axisPage" multipleItemSelectionAllowed="1" showAll="0">
      <items count="5">
        <item x="2"/>
        <item x="0"/>
        <item x="1"/>
        <item x="3"/>
        <item t="default"/>
      </items>
    </pivotField>
    <pivotField dataField="1" numFmtId="2" showAll="0">
      <items count="36">
        <item h="1" x="9"/>
        <item h="1" x="21"/>
        <item h="1" x="32"/>
        <item x="3"/>
        <item h="1" x="14"/>
        <item h="1" x="17"/>
        <item h="1" x="6"/>
        <item h="1" x="1"/>
        <item h="1" x="29"/>
        <item h="1" x="11"/>
        <item h="1" x="23"/>
        <item h="1" x="5"/>
        <item h="1" x="19"/>
        <item h="1" x="28"/>
        <item h="1" x="13"/>
        <item h="1" x="25"/>
        <item h="1" x="8"/>
        <item h="1" x="0"/>
        <item h="1" x="16"/>
        <item h="1" x="31"/>
        <item h="1" x="7"/>
        <item h="1" x="22"/>
        <item h="1" x="33"/>
        <item h="1" x="2"/>
        <item h="1" x="15"/>
        <item h="1" x="26"/>
        <item h="1" x="20"/>
        <item h="1" x="10"/>
        <item h="1" x="30"/>
        <item h="1" x="18"/>
        <item h="1" x="34"/>
        <item h="1" x="4"/>
        <item h="1" x="27"/>
        <item h="1" x="12"/>
        <item h="1" x="24"/>
        <item t="default"/>
      </items>
    </pivotField>
    <pivotField showAll="0">
      <items count="42">
        <item h="1" x="40"/>
        <item h="1" x="9"/>
        <item h="1" x="38"/>
        <item h="1" x="1"/>
        <item h="1" x="3"/>
        <item h="1" x="21"/>
        <item h="1" x="14"/>
        <item x="29"/>
        <item h="1" x="6"/>
        <item h="1" x="17"/>
        <item h="1" x="26"/>
        <item h="1" x="36"/>
        <item h="1" x="33"/>
        <item h="1" x="23"/>
        <item h="1" x="11"/>
        <item h="1" x="34"/>
        <item h="1" x="5"/>
        <item h="1" x="19"/>
        <item h="1" x="8"/>
        <item h="1" x="37"/>
        <item h="1" x="7"/>
        <item h="1" x="31"/>
        <item h="1" x="39"/>
        <item h="1" x="22"/>
        <item h="1" x="2"/>
        <item h="1" x="13"/>
        <item h="1" x="16"/>
        <item h="1" x="15"/>
        <item h="1" x="25"/>
        <item h="1" x="28"/>
        <item h="1" x="10"/>
        <item h="1" x="27"/>
        <item h="1" x="32"/>
        <item h="1" x="20"/>
        <item h="1" x="18"/>
        <item h="1" x="35"/>
        <item h="1" x="4"/>
        <item h="1" x="30"/>
        <item h="1" x="12"/>
        <item h="1" x="24"/>
        <item h="1" x="0"/>
        <item t="default"/>
      </items>
    </pivotField>
  </pivotFields>
  <rowFields count="1">
    <field x="3"/>
  </rowFields>
  <rowItems count="8">
    <i>
      <x/>
    </i>
    <i>
      <x v="1"/>
    </i>
    <i>
      <x v="2"/>
    </i>
    <i>
      <x v="3"/>
    </i>
    <i>
      <x v="4"/>
    </i>
    <i>
      <x v="5"/>
    </i>
    <i>
      <x v="6"/>
    </i>
    <i t="grand">
      <x/>
    </i>
  </rowItems>
  <colFields count="1">
    <field x="8"/>
  </colFields>
  <colItems count="6">
    <i>
      <x/>
    </i>
    <i>
      <x v="1"/>
    </i>
    <i>
      <x v="2"/>
    </i>
    <i>
      <x v="3"/>
    </i>
    <i>
      <x v="4"/>
    </i>
    <i t="grand">
      <x/>
    </i>
  </colItems>
  <pageFields count="1">
    <pageField fld="14" hier="-1"/>
  </pageFields>
  <dataFields count="1">
    <dataField name="Sum of Sales" fld="15" baseField="0" baseItem="0" numFmtId="2"/>
  </dataFields>
  <chartFormats count="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335CC-6333-44D7-9CA3-2EFB90AA07D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5:L110" firstHeaderRow="0" firstDataRow="1" firstDataCol="1"/>
  <pivotFields count="7">
    <pivotField axis="axisRow" showAll="0">
      <items count="5">
        <item x="1"/>
        <item x="2"/>
        <item x="0"/>
        <item x="3"/>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6">
    <i>
      <x/>
    </i>
    <i i="1">
      <x v="1"/>
    </i>
    <i i="2">
      <x v="2"/>
    </i>
    <i i="3">
      <x v="3"/>
    </i>
    <i i="4">
      <x v="4"/>
    </i>
    <i i="5">
      <x v="5"/>
    </i>
  </colItems>
  <dataFields count="6">
    <dataField name="Sum of SS" fld="1" baseField="0" baseItem="0"/>
    <dataField name="Sum of df" fld="2" baseField="0" baseItem="0"/>
    <dataField name="Sum of MS" fld="3" baseField="0" baseItem="0"/>
    <dataField name="Sum of F" fld="4" baseField="0" baseItem="0"/>
    <dataField name="Sum of P-value" fld="5" baseField="0" baseItem="0"/>
    <dataField name="Sum of F cr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7A4D7C-CBFC-4F3A-AFA0-DA2D532D6B4E}" sourceName="Region">
  <pivotTables>
    <pivotTable tabId="1" name="PivotTable4"/>
  </pivotTables>
  <data>
    <tabular pivotCacheId="206996343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C4BCF47-4FB5-441B-9C67-52724099161A}" sourceName="[Range].[PaymentMethod]">
  <pivotTables>
    <pivotTable tabId="12" name="PivotTable5"/>
  </pivotTables>
  <data>
    <olap pivotCacheId="613443984">
      <levels count="2">
        <level uniqueName="[Range].[PaymentMethod].[(All)]" sourceCaption="(All)" count="0"/>
        <level uniqueName="[Range].[PaymentMethod].[PaymentMethod]" sourceCaption="PaymentMethod" count="5">
          <ranges>
            <range startItem="0">
              <i n="[Range].[PaymentMethod].&amp;[Bank Transfer]" c="Bank Transfer"/>
              <i n="[Range].[PaymentMethod].&amp;[Cash on Delivery]" c="Cash on Delivery"/>
              <i n="[Range].[PaymentMethod].&amp;[Credit Card]" c="Credit Card"/>
              <i n="[Range].[PaymentMethod].&amp;[Debit Card]" c="Debit Card"/>
              <i n="[Range].[PaymentMethod].&amp;[PayPal]" c="PayPal"/>
            </range>
          </ranges>
        </level>
      </levels>
      <selections count="1">
        <selection n="[Range].[PaymentMethod].&amp;[Bank Transfe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C949B8F1-665B-4953-8361-A8D9AA6DA096}" sourceName="[Range].[Discount]">
  <pivotTables>
    <pivotTable tabId="13" name="PivotTable6"/>
  </pivotTables>
  <data>
    <olap pivotCacheId="613443984">
      <levels count="2">
        <level uniqueName="[Range].[Discount].[(All)]" sourceCaption="(All)" count="0"/>
        <level uniqueName="[Range].[Discount].[Discount]" sourceCaption="Discount" count="22">
          <ranges>
            <range startItem="0">
              <i n="[Range].[Discount].&amp;[1.E-2]" c="0.01"/>
              <i n="[Range].[Discount].&amp;[4.E-2]" c="0.04"/>
              <i n="[Range].[Discount].&amp;[5.E-2]" c="0.05"/>
              <i n="[Range].[Discount].&amp;[6.E-2]" c="0.06"/>
              <i n="[Range].[Discount].&amp;[9.E-2]" c="0.09"/>
              <i n="[Range].[Discount].&amp;[1.1E-1]" c="0.11"/>
              <i n="[Range].[Discount].&amp;[1.2E-1]" c="0.12"/>
              <i n="[Range].[Discount].&amp;[1.3E-1]" c="0.13"/>
              <i n="[Range].[Discount].&amp;[1.5E-1]" c="0.15"/>
              <i n="[Range].[Discount].&amp;[1.6E-1]" c="0.16"/>
              <i n="[Range].[Discount].&amp;[1.8E-1]" c="0.18"/>
              <i n="[Range].[Discount].&amp;[2.E-1]" c="0.2"/>
              <i n="[Range].[Discount].&amp;[2.2E-1]" c="0.22"/>
              <i n="[Range].[Discount].&amp;[2.3E-1]" c="0.23"/>
              <i n="[Range].[Discount].&amp;[2.4E-1]" c="0.24"/>
              <i n="[Range].[Discount].&amp;[2.6E-1]" c="0.26"/>
              <i n="[Range].[Discount].&amp;[2.8E-1]" c="0.28"/>
              <i n="[Range].[Discount].&amp;[2.9E-1]" c="0.29"/>
              <i n="[Range].[Discount].&amp;[1.4E-1]" c="0.14" nd="1"/>
              <i n="[Range].[Discount].&amp;[1.9E-1]" c="0.19" nd="1"/>
              <i n="[Range].[Discount].&amp;[2.1E-1]" c="0.21" nd="1"/>
              <i n="[Range].[Discount].&amp;[2.5E-1]" c="0.25" nd="1"/>
            </range>
          </ranges>
        </level>
      </levels>
      <selections count="1">
        <selection n="[Range].[Discou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5B1BD005-F164-49FD-80DF-E1B9ACC8D18C}" cache="Slicer_PaymentMethod" caption="PaymentMetho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F9BC9CCF-BB72-4E5E-965B-AD90AECA2970}" cache="Slicer_Discount" caption="Discount"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1DA0CC-375F-4A48-A0AB-769D942873B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0D4AF0-5C5E-4A21-91B7-646391396EAB}" name="Table1" displayName="Table1" ref="AH38:AL41" totalsRowShown="0" headerRowDxfId="13" dataDxfId="14">
  <autoFilter ref="AH38:AL41" xr:uid="{390D4AF0-5C5E-4A21-91B7-646391396EAB}"/>
  <tableColumns count="5">
    <tableColumn id="1" xr3:uid="{7D444647-E045-4D63-8E07-7E25B2396B29}" name="Region" dataDxfId="19"/>
    <tableColumn id="2" xr3:uid="{8E824DF2-337E-4A37-875A-DEB025DF3AEE}" name="Electronics" dataDxfId="18"/>
    <tableColumn id="3" xr3:uid="{BE12FA6D-ED56-4959-8DFC-905053308488}" name="Electronics2" dataDxfId="17"/>
    <tableColumn id="4" xr3:uid="{9FF9930A-40BC-455A-826C-8BD38F4E89E4}" name="Beauty" dataDxfId="16"/>
    <tableColumn id="5" xr3:uid="{EBCD6271-4B0C-4C8B-91D2-632087E5C04E}" name="Beauty3"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5A53C4-F833-4526-B260-B327D5A71B58}" name="Table2" displayName="Table2" ref="AC43:AE52" totalsRowShown="0">
  <autoFilter ref="AC43:AE52" xr:uid="{9C5A53C4-F833-4526-B260-B327D5A71B58}"/>
  <tableColumns count="3">
    <tableColumn id="1" xr3:uid="{2A6B0F2E-5753-4CA5-ACBF-58BE20870F17}" name="region" dataDxfId="12"/>
    <tableColumn id="2" xr3:uid="{38B48F1C-E650-4E2D-9B33-4D46AF740F28}" name="product" dataDxfId="11"/>
    <tableColumn id="3" xr3:uid="{18E9F1F8-8909-4523-BC67-32E8BD4D874B}" name="sal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4787-C4E2-4F41-8EE2-893A163D5F20}">
  <dimension ref="A1:F15"/>
  <sheetViews>
    <sheetView workbookViewId="0">
      <selection activeCell="F7" sqref="F7"/>
    </sheetView>
  </sheetViews>
  <sheetFormatPr defaultRowHeight="15" x14ac:dyDescent="0.25"/>
  <sheetData>
    <row r="1" spans="1:6" x14ac:dyDescent="0.25">
      <c r="A1" s="6" t="s">
        <v>73</v>
      </c>
      <c r="B1" s="6"/>
    </row>
    <row r="3" spans="1:6" x14ac:dyDescent="0.25">
      <c r="A3" t="s">
        <v>74</v>
      </c>
      <c r="B3">
        <v>441.59926829268284</v>
      </c>
    </row>
    <row r="4" spans="1:6" x14ac:dyDescent="0.25">
      <c r="A4" t="s">
        <v>75</v>
      </c>
      <c r="B4">
        <v>41.087054832437083</v>
      </c>
    </row>
    <row r="5" spans="1:6" x14ac:dyDescent="0.25">
      <c r="A5" t="s">
        <v>76</v>
      </c>
      <c r="B5">
        <v>434.15</v>
      </c>
    </row>
    <row r="6" spans="1:6" x14ac:dyDescent="0.25">
      <c r="A6" t="s">
        <v>77</v>
      </c>
      <c r="B6" t="e">
        <v>#N/A</v>
      </c>
      <c r="F6" t="s">
        <v>164</v>
      </c>
    </row>
    <row r="7" spans="1:6" x14ac:dyDescent="0.25">
      <c r="A7" t="s">
        <v>78</v>
      </c>
      <c r="B7">
        <v>263.08551664231032</v>
      </c>
    </row>
    <row r="8" spans="1:6" x14ac:dyDescent="0.25">
      <c r="A8" t="s">
        <v>79</v>
      </c>
      <c r="B8">
        <v>69213.989066951355</v>
      </c>
    </row>
    <row r="9" spans="1:6" x14ac:dyDescent="0.25">
      <c r="A9" t="s">
        <v>80</v>
      </c>
      <c r="B9">
        <v>-0.88016350809872623</v>
      </c>
    </row>
    <row r="10" spans="1:6" x14ac:dyDescent="0.25">
      <c r="A10" t="s">
        <v>81</v>
      </c>
      <c r="B10">
        <v>0.22179960264543475</v>
      </c>
    </row>
    <row r="11" spans="1:6" x14ac:dyDescent="0.25">
      <c r="A11" t="s">
        <v>82</v>
      </c>
      <c r="B11">
        <v>947.82999999999993</v>
      </c>
    </row>
    <row r="12" spans="1:6" x14ac:dyDescent="0.25">
      <c r="A12" t="s">
        <v>83</v>
      </c>
      <c r="B12">
        <v>6.58</v>
      </c>
    </row>
    <row r="13" spans="1:6" x14ac:dyDescent="0.25">
      <c r="A13" t="s">
        <v>84</v>
      </c>
      <c r="B13">
        <v>954.41</v>
      </c>
    </row>
    <row r="14" spans="1:6" x14ac:dyDescent="0.25">
      <c r="A14" t="s">
        <v>85</v>
      </c>
      <c r="B14">
        <v>18105.569999999996</v>
      </c>
    </row>
    <row r="15" spans="1:6" ht="15.75" thickBot="1" x14ac:dyDescent="0.3">
      <c r="A15" s="4" t="s">
        <v>86</v>
      </c>
      <c r="B15" s="4">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FFF2-67A4-4755-8C53-15457F44C4AE}">
  <dimension ref="A1:F3"/>
  <sheetViews>
    <sheetView workbookViewId="0">
      <selection activeCell="F2" sqref="F2"/>
    </sheetView>
  </sheetViews>
  <sheetFormatPr defaultRowHeight="15" x14ac:dyDescent="0.25"/>
  <sheetData>
    <row r="1" spans="1:6" x14ac:dyDescent="0.25">
      <c r="A1" s="5"/>
      <c r="B1" s="5" t="s">
        <v>6</v>
      </c>
      <c r="C1" s="5" t="s">
        <v>7</v>
      </c>
    </row>
    <row r="2" spans="1:6" x14ac:dyDescent="0.25">
      <c r="A2" t="s">
        <v>6</v>
      </c>
      <c r="B2">
        <v>1</v>
      </c>
      <c r="F2" t="s">
        <v>153</v>
      </c>
    </row>
    <row r="3" spans="1:6" ht="15.75" thickBot="1" x14ac:dyDescent="0.3">
      <c r="A3" s="4" t="s">
        <v>7</v>
      </c>
      <c r="B3" s="4">
        <v>-5.935795479330714E-2</v>
      </c>
      <c r="C3"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46A2-259E-430E-A9D8-037C9F561922}">
  <dimension ref="A1:C3"/>
  <sheetViews>
    <sheetView workbookViewId="0">
      <selection sqref="A1:C3"/>
    </sheetView>
  </sheetViews>
  <sheetFormatPr defaultRowHeight="15" x14ac:dyDescent="0.25"/>
  <sheetData>
    <row r="1" spans="1:3" x14ac:dyDescent="0.25">
      <c r="A1" s="5"/>
      <c r="B1" s="5" t="s">
        <v>88</v>
      </c>
      <c r="C1" s="5" t="s">
        <v>89</v>
      </c>
    </row>
    <row r="2" spans="1:3" x14ac:dyDescent="0.25">
      <c r="A2" t="s">
        <v>88</v>
      </c>
      <c r="B2">
        <v>1</v>
      </c>
    </row>
    <row r="3" spans="1:3" ht="15.75" thickBot="1" x14ac:dyDescent="0.3">
      <c r="A3" s="4" t="s">
        <v>89</v>
      </c>
      <c r="B3" s="4">
        <v>0.96589640326544879</v>
      </c>
      <c r="C3"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49B3-D2C8-466F-BC26-01F486CE44A3}">
  <dimension ref="A1:C3"/>
  <sheetViews>
    <sheetView workbookViewId="0">
      <selection sqref="A1:C3"/>
    </sheetView>
  </sheetViews>
  <sheetFormatPr defaultRowHeight="15" x14ac:dyDescent="0.25"/>
  <sheetData>
    <row r="1" spans="1:3" x14ac:dyDescent="0.25">
      <c r="A1" s="5"/>
      <c r="B1" s="5" t="s">
        <v>5</v>
      </c>
      <c r="C1" s="5" t="s">
        <v>6</v>
      </c>
    </row>
    <row r="2" spans="1:3" x14ac:dyDescent="0.25">
      <c r="A2" t="s">
        <v>5</v>
      </c>
      <c r="B2">
        <f>VARP(Sheet1!$E$2:$E$42)</f>
        <v>1.3539559785841762</v>
      </c>
    </row>
    <row r="3" spans="1:3" ht="15.75" thickBot="1" x14ac:dyDescent="0.3">
      <c r="A3" s="4" t="s">
        <v>6</v>
      </c>
      <c r="B3" s="4">
        <v>-48.669488399762017</v>
      </c>
      <c r="C3" s="4">
        <f>VARP(Sheet1!$F$2:$F$42)</f>
        <v>67525.842992147649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6C61-32A6-4A8E-A59A-29B05AF943D2}">
  <dimension ref="A1:G14"/>
  <sheetViews>
    <sheetView zoomScale="175" zoomScaleNormal="175" workbookViewId="0">
      <selection activeCell="E10" sqref="E10"/>
    </sheetView>
  </sheetViews>
  <sheetFormatPr defaultRowHeight="15" x14ac:dyDescent="0.25"/>
  <sheetData>
    <row r="1" spans="1:7" x14ac:dyDescent="0.25">
      <c r="A1" t="s">
        <v>94</v>
      </c>
    </row>
    <row r="3" spans="1:7" ht="15.75" thickBot="1" x14ac:dyDescent="0.3">
      <c r="A3" t="s">
        <v>95</v>
      </c>
    </row>
    <row r="4" spans="1:7" x14ac:dyDescent="0.25">
      <c r="A4" s="5" t="s">
        <v>96</v>
      </c>
      <c r="B4" s="5" t="s">
        <v>86</v>
      </c>
      <c r="C4" s="5" t="s">
        <v>85</v>
      </c>
      <c r="D4" s="5" t="s">
        <v>97</v>
      </c>
      <c r="E4" s="5" t="s">
        <v>98</v>
      </c>
    </row>
    <row r="5" spans="1:7" x14ac:dyDescent="0.25">
      <c r="A5" t="s">
        <v>5</v>
      </c>
      <c r="B5">
        <v>41</v>
      </c>
      <c r="C5">
        <v>97</v>
      </c>
      <c r="D5">
        <v>2.3658536585365852</v>
      </c>
      <c r="E5">
        <v>1.3878048780487802</v>
      </c>
    </row>
    <row r="6" spans="1:7" ht="15.75" thickBot="1" x14ac:dyDescent="0.3">
      <c r="A6" s="4" t="s">
        <v>6</v>
      </c>
      <c r="B6" s="4">
        <v>41</v>
      </c>
      <c r="C6" s="4">
        <v>18105.569999999996</v>
      </c>
      <c r="D6" s="4">
        <v>441.59926829268284</v>
      </c>
      <c r="E6" s="4">
        <v>69213.989066951355</v>
      </c>
    </row>
    <row r="9" spans="1:7" ht="15.75" thickBot="1" x14ac:dyDescent="0.3">
      <c r="A9" t="s">
        <v>99</v>
      </c>
    </row>
    <row r="10" spans="1:7" x14ac:dyDescent="0.25">
      <c r="A10" s="5" t="s">
        <v>100</v>
      </c>
      <c r="B10" s="5" t="s">
        <v>101</v>
      </c>
      <c r="C10" s="5" t="s">
        <v>102</v>
      </c>
      <c r="D10" s="5" t="s">
        <v>103</v>
      </c>
      <c r="E10" s="5" t="s">
        <v>104</v>
      </c>
      <c r="F10" s="5" t="s">
        <v>105</v>
      </c>
      <c r="G10" s="5" t="s">
        <v>106</v>
      </c>
    </row>
    <row r="11" spans="1:7" x14ac:dyDescent="0.25">
      <c r="A11" t="s">
        <v>107</v>
      </c>
      <c r="B11">
        <v>3954982.846889026</v>
      </c>
      <c r="C11">
        <v>1</v>
      </c>
      <c r="D11">
        <v>3954982.846889026</v>
      </c>
      <c r="E11">
        <v>114.28046846332226</v>
      </c>
      <c r="F11">
        <v>4.4367677391729752E-17</v>
      </c>
      <c r="G11">
        <v>3.9603524206149485</v>
      </c>
    </row>
    <row r="12" spans="1:7" x14ac:dyDescent="0.25">
      <c r="A12" t="s">
        <v>108</v>
      </c>
      <c r="B12">
        <v>2768615.0748731713</v>
      </c>
      <c r="C12">
        <v>80</v>
      </c>
      <c r="D12">
        <v>34607.688435914642</v>
      </c>
    </row>
    <row r="14" spans="1:7" ht="15.75" thickBot="1" x14ac:dyDescent="0.3">
      <c r="A14" s="4" t="s">
        <v>109</v>
      </c>
      <c r="B14" s="4">
        <v>6723597.9217621973</v>
      </c>
      <c r="C14" s="4">
        <v>81</v>
      </c>
      <c r="D14" s="4"/>
      <c r="E14" s="4"/>
      <c r="F14" s="4"/>
      <c r="G14"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64BD-CB80-4DB9-A229-72B107B7D17A}">
  <dimension ref="A1:G12"/>
  <sheetViews>
    <sheetView workbookViewId="0">
      <selection activeCell="G12" sqref="G12"/>
    </sheetView>
  </sheetViews>
  <sheetFormatPr defaultRowHeight="15" x14ac:dyDescent="0.25"/>
  <sheetData>
    <row r="1" spans="1:7" x14ac:dyDescent="0.25">
      <c r="A1" s="5" t="s">
        <v>110</v>
      </c>
      <c r="B1" s="5" t="s">
        <v>112</v>
      </c>
    </row>
    <row r="2" spans="1:7" x14ac:dyDescent="0.25">
      <c r="A2" s="9">
        <v>0.01</v>
      </c>
      <c r="B2">
        <v>4</v>
      </c>
    </row>
    <row r="3" spans="1:7" x14ac:dyDescent="0.25">
      <c r="A3" s="9">
        <v>0.05</v>
      </c>
      <c r="B3">
        <v>5</v>
      </c>
    </row>
    <row r="4" spans="1:7" x14ac:dyDescent="0.25">
      <c r="A4" s="9">
        <v>0.1</v>
      </c>
      <c r="B4">
        <v>5</v>
      </c>
    </row>
    <row r="5" spans="1:7" x14ac:dyDescent="0.25">
      <c r="A5" s="9">
        <v>0.15</v>
      </c>
      <c r="B5">
        <v>8</v>
      </c>
    </row>
    <row r="6" spans="1:7" x14ac:dyDescent="0.25">
      <c r="A6" s="9">
        <v>0.2</v>
      </c>
      <c r="B6">
        <v>4</v>
      </c>
    </row>
    <row r="7" spans="1:7" x14ac:dyDescent="0.25">
      <c r="A7" s="9">
        <v>0.25</v>
      </c>
      <c r="B7">
        <v>7</v>
      </c>
    </row>
    <row r="8" spans="1:7" x14ac:dyDescent="0.25">
      <c r="A8" s="9">
        <v>0.3</v>
      </c>
      <c r="B8">
        <v>7</v>
      </c>
    </row>
    <row r="9" spans="1:7" ht="15.75" thickBot="1" x14ac:dyDescent="0.3">
      <c r="A9" s="4" t="s">
        <v>111</v>
      </c>
      <c r="B9" s="4">
        <v>0</v>
      </c>
    </row>
    <row r="12" spans="1:7" x14ac:dyDescent="0.25">
      <c r="G12" t="s">
        <v>163</v>
      </c>
    </row>
  </sheetData>
  <sortState xmlns:xlrd2="http://schemas.microsoft.com/office/spreadsheetml/2017/richdata2" ref="A2:A8">
    <sortCondition ref="A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CF671-1BAC-4036-920F-2F8E4DFCFA1B}">
  <dimension ref="A1:F9"/>
  <sheetViews>
    <sheetView workbookViewId="0">
      <selection activeCell="Q14" sqref="Q14"/>
    </sheetView>
  </sheetViews>
  <sheetFormatPr defaultRowHeight="15" x14ac:dyDescent="0.25"/>
  <sheetData>
    <row r="1" spans="1:6" x14ac:dyDescent="0.25">
      <c r="A1" s="5" t="s">
        <v>110</v>
      </c>
      <c r="B1" s="5" t="s">
        <v>112</v>
      </c>
      <c r="C1" s="5" t="s">
        <v>113</v>
      </c>
      <c r="D1" s="5" t="s">
        <v>110</v>
      </c>
      <c r="E1" s="5" t="s">
        <v>112</v>
      </c>
      <c r="F1" s="5" t="s">
        <v>113</v>
      </c>
    </row>
    <row r="2" spans="1:6" x14ac:dyDescent="0.25">
      <c r="A2" s="9">
        <v>0.01</v>
      </c>
      <c r="B2">
        <v>4</v>
      </c>
      <c r="C2" s="12">
        <v>0.1</v>
      </c>
      <c r="D2" s="9">
        <v>0.15</v>
      </c>
      <c r="E2">
        <v>8</v>
      </c>
      <c r="F2" s="12">
        <v>0.2</v>
      </c>
    </row>
    <row r="3" spans="1:6" x14ac:dyDescent="0.25">
      <c r="A3" s="9">
        <v>0.05</v>
      </c>
      <c r="B3">
        <v>5</v>
      </c>
      <c r="C3" s="12">
        <v>0.22500000000000001</v>
      </c>
      <c r="D3" s="9">
        <v>0.25</v>
      </c>
      <c r="E3">
        <v>7</v>
      </c>
      <c r="F3" s="12">
        <v>0.375</v>
      </c>
    </row>
    <row r="4" spans="1:6" x14ac:dyDescent="0.25">
      <c r="A4" s="9">
        <v>0.1</v>
      </c>
      <c r="B4">
        <v>5</v>
      </c>
      <c r="C4" s="12">
        <v>0.35</v>
      </c>
      <c r="D4" s="9">
        <v>0.3</v>
      </c>
      <c r="E4">
        <v>7</v>
      </c>
      <c r="F4" s="12">
        <v>0.55000000000000004</v>
      </c>
    </row>
    <row r="5" spans="1:6" x14ac:dyDescent="0.25">
      <c r="A5" s="9">
        <v>0.15</v>
      </c>
      <c r="B5">
        <v>8</v>
      </c>
      <c r="C5" s="12">
        <v>0.55000000000000004</v>
      </c>
      <c r="D5" s="9">
        <v>0.05</v>
      </c>
      <c r="E5">
        <v>5</v>
      </c>
      <c r="F5" s="12">
        <v>0.67500000000000004</v>
      </c>
    </row>
    <row r="6" spans="1:6" x14ac:dyDescent="0.25">
      <c r="A6" s="9">
        <v>0.2</v>
      </c>
      <c r="B6">
        <v>4</v>
      </c>
      <c r="C6" s="12">
        <v>0.65</v>
      </c>
      <c r="D6" s="9">
        <v>0.1</v>
      </c>
      <c r="E6">
        <v>5</v>
      </c>
      <c r="F6" s="12">
        <v>0.8</v>
      </c>
    </row>
    <row r="7" spans="1:6" x14ac:dyDescent="0.25">
      <c r="A7" s="9">
        <v>0.25</v>
      </c>
      <c r="B7">
        <v>7</v>
      </c>
      <c r="C7" s="12">
        <v>0.82499999999999996</v>
      </c>
      <c r="D7" s="9">
        <v>0.01</v>
      </c>
      <c r="E7">
        <v>4</v>
      </c>
      <c r="F7" s="12">
        <v>0.9</v>
      </c>
    </row>
    <row r="8" spans="1:6" x14ac:dyDescent="0.25">
      <c r="A8" s="9">
        <v>0.3</v>
      </c>
      <c r="B8">
        <v>7</v>
      </c>
      <c r="C8" s="12">
        <v>1</v>
      </c>
      <c r="D8" s="9">
        <v>0.2</v>
      </c>
      <c r="E8">
        <v>4</v>
      </c>
      <c r="F8" s="12">
        <v>1</v>
      </c>
    </row>
    <row r="9" spans="1:6" ht="15.75" thickBot="1" x14ac:dyDescent="0.3">
      <c r="A9" s="4" t="s">
        <v>111</v>
      </c>
      <c r="B9" s="4">
        <v>0</v>
      </c>
      <c r="C9" s="13">
        <v>1</v>
      </c>
      <c r="D9" s="14" t="s">
        <v>111</v>
      </c>
      <c r="E9" s="4">
        <v>0</v>
      </c>
      <c r="F9" s="13">
        <v>1</v>
      </c>
    </row>
  </sheetData>
  <sortState xmlns:xlrd2="http://schemas.microsoft.com/office/spreadsheetml/2017/richdata2" ref="D2:E9">
    <sortCondition descending="1" ref="E2"/>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35B9-D2E7-46AD-9EB9-4C3BCB7AA394}">
  <dimension ref="A1:F7"/>
  <sheetViews>
    <sheetView workbookViewId="0">
      <selection activeCell="D15" sqref="D15"/>
    </sheetView>
  </sheetViews>
  <sheetFormatPr defaultRowHeight="15" x14ac:dyDescent="0.25"/>
  <sheetData>
    <row r="1" spans="1:6" x14ac:dyDescent="0.25">
      <c r="A1" s="5" t="s">
        <v>114</v>
      </c>
      <c r="B1" s="5" t="s">
        <v>112</v>
      </c>
      <c r="C1" s="5" t="s">
        <v>113</v>
      </c>
      <c r="D1" s="5" t="s">
        <v>114</v>
      </c>
      <c r="E1" s="5" t="s">
        <v>112</v>
      </c>
      <c r="F1" s="5" t="s">
        <v>113</v>
      </c>
    </row>
    <row r="2" spans="1:6" x14ac:dyDescent="0.25">
      <c r="A2" s="9">
        <v>3000</v>
      </c>
      <c r="B2">
        <v>6</v>
      </c>
      <c r="C2" s="12">
        <v>0.15384615384615385</v>
      </c>
      <c r="D2" s="9">
        <v>4000</v>
      </c>
      <c r="E2">
        <v>8</v>
      </c>
      <c r="F2" s="12">
        <v>0.20512820512820512</v>
      </c>
    </row>
    <row r="3" spans="1:6" x14ac:dyDescent="0.25">
      <c r="A3" s="9">
        <v>4000</v>
      </c>
      <c r="B3">
        <v>8</v>
      </c>
      <c r="C3" s="12">
        <v>0.35897435897435898</v>
      </c>
      <c r="D3" s="9">
        <v>5000</v>
      </c>
      <c r="E3">
        <v>7</v>
      </c>
      <c r="F3" s="12">
        <v>0.38461538461538464</v>
      </c>
    </row>
    <row r="4" spans="1:6" x14ac:dyDescent="0.25">
      <c r="A4" s="9">
        <v>5000</v>
      </c>
      <c r="B4">
        <v>7</v>
      </c>
      <c r="C4" s="12">
        <v>0.53846153846153844</v>
      </c>
      <c r="D4" s="9">
        <v>7000</v>
      </c>
      <c r="E4">
        <v>7</v>
      </c>
      <c r="F4" s="12">
        <v>0.5641025641025641</v>
      </c>
    </row>
    <row r="5" spans="1:6" x14ac:dyDescent="0.25">
      <c r="A5" s="9">
        <v>6000</v>
      </c>
      <c r="B5">
        <v>6</v>
      </c>
      <c r="C5" s="12">
        <v>0.69230769230769229</v>
      </c>
      <c r="D5" s="9">
        <v>3000</v>
      </c>
      <c r="E5">
        <v>6</v>
      </c>
      <c r="F5" s="12">
        <v>0.71794871794871795</v>
      </c>
    </row>
    <row r="6" spans="1:6" x14ac:dyDescent="0.25">
      <c r="A6" s="9">
        <v>7000</v>
      </c>
      <c r="B6">
        <v>7</v>
      </c>
      <c r="C6" s="12">
        <v>0.87179487179487181</v>
      </c>
      <c r="D6" s="9">
        <v>6000</v>
      </c>
      <c r="E6">
        <v>6</v>
      </c>
      <c r="F6" s="12">
        <v>0.87179487179487181</v>
      </c>
    </row>
    <row r="7" spans="1:6" ht="15.75" thickBot="1" x14ac:dyDescent="0.3">
      <c r="A7" s="4" t="s">
        <v>111</v>
      </c>
      <c r="B7" s="4">
        <v>5</v>
      </c>
      <c r="C7" s="13">
        <v>1</v>
      </c>
      <c r="D7" s="14" t="s">
        <v>111</v>
      </c>
      <c r="E7" s="4">
        <v>5</v>
      </c>
      <c r="F7" s="13">
        <v>1</v>
      </c>
    </row>
  </sheetData>
  <sortState xmlns:xlrd2="http://schemas.microsoft.com/office/spreadsheetml/2017/richdata2" ref="D2:E7">
    <sortCondition descending="1" ref="E2"/>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14FBC-49D6-4DB8-BFB7-C5C8FAF827AE}">
  <dimension ref="A1:I65"/>
  <sheetViews>
    <sheetView workbookViewId="0">
      <selection activeCell="R33" sqref="R33"/>
    </sheetView>
  </sheetViews>
  <sheetFormatPr defaultRowHeight="15" x14ac:dyDescent="0.25"/>
  <sheetData>
    <row r="1" spans="1:9" x14ac:dyDescent="0.25">
      <c r="A1" t="s">
        <v>115</v>
      </c>
    </row>
    <row r="2" spans="1:9" ht="15.75" thickBot="1" x14ac:dyDescent="0.3"/>
    <row r="3" spans="1:9" x14ac:dyDescent="0.25">
      <c r="A3" s="6" t="s">
        <v>116</v>
      </c>
      <c r="B3" s="6"/>
    </row>
    <row r="4" spans="1:9" x14ac:dyDescent="0.25">
      <c r="A4" t="s">
        <v>117</v>
      </c>
      <c r="B4">
        <v>5.9357954793306945E-2</v>
      </c>
    </row>
    <row r="5" spans="1:9" x14ac:dyDescent="0.25">
      <c r="A5" t="s">
        <v>118</v>
      </c>
      <c r="B5">
        <v>3.5233667972442706E-3</v>
      </c>
    </row>
    <row r="6" spans="1:9" x14ac:dyDescent="0.25">
      <c r="A6" t="s">
        <v>119</v>
      </c>
      <c r="B6">
        <v>-2.2027316105390493E-2</v>
      </c>
    </row>
    <row r="7" spans="1:9" x14ac:dyDescent="0.25">
      <c r="A7" t="s">
        <v>75</v>
      </c>
      <c r="B7">
        <v>265.96726769105254</v>
      </c>
    </row>
    <row r="8" spans="1:9" ht="15.75" thickBot="1" x14ac:dyDescent="0.3">
      <c r="A8" s="4" t="s">
        <v>120</v>
      </c>
      <c r="B8" s="4">
        <v>41</v>
      </c>
    </row>
    <row r="10" spans="1:9" ht="15.75" thickBot="1" x14ac:dyDescent="0.3">
      <c r="A10" t="s">
        <v>99</v>
      </c>
    </row>
    <row r="11" spans="1:9" x14ac:dyDescent="0.25">
      <c r="A11" s="5"/>
      <c r="B11" s="5" t="s">
        <v>102</v>
      </c>
      <c r="C11" s="5" t="s">
        <v>101</v>
      </c>
      <c r="D11" s="5" t="s">
        <v>103</v>
      </c>
      <c r="E11" s="5" t="s">
        <v>104</v>
      </c>
      <c r="F11" s="5" t="s">
        <v>124</v>
      </c>
    </row>
    <row r="12" spans="1:9" x14ac:dyDescent="0.25">
      <c r="A12" t="s">
        <v>121</v>
      </c>
      <c r="B12">
        <v>1</v>
      </c>
      <c r="C12">
        <v>9754.6508393329568</v>
      </c>
      <c r="D12">
        <v>9754.6508393329568</v>
      </c>
      <c r="E12">
        <v>0.13789716739355504</v>
      </c>
      <c r="F12">
        <v>0.71239033258842066</v>
      </c>
    </row>
    <row r="13" spans="1:9" x14ac:dyDescent="0.25">
      <c r="A13" t="s">
        <v>122</v>
      </c>
      <c r="B13">
        <v>39</v>
      </c>
      <c r="C13">
        <v>2758804.9118387164</v>
      </c>
      <c r="D13">
        <v>70738.587483044015</v>
      </c>
    </row>
    <row r="14" spans="1:9" ht="15.75" thickBot="1" x14ac:dyDescent="0.3">
      <c r="A14" s="4" t="s">
        <v>109</v>
      </c>
      <c r="B14" s="4">
        <v>40</v>
      </c>
      <c r="C14" s="4">
        <v>2768559.5626780493</v>
      </c>
      <c r="D14" s="4"/>
      <c r="E14" s="4"/>
      <c r="F14" s="4"/>
    </row>
    <row r="15" spans="1:9" ht="15.75" thickBot="1" x14ac:dyDescent="0.3"/>
    <row r="16" spans="1:9" x14ac:dyDescent="0.25">
      <c r="A16" s="5"/>
      <c r="B16" s="5" t="s">
        <v>125</v>
      </c>
      <c r="C16" s="5" t="s">
        <v>75</v>
      </c>
      <c r="D16" s="5" t="s">
        <v>126</v>
      </c>
      <c r="E16" s="5" t="s">
        <v>105</v>
      </c>
      <c r="F16" s="5" t="s">
        <v>127</v>
      </c>
      <c r="G16" s="5" t="s">
        <v>128</v>
      </c>
      <c r="H16" s="5" t="s">
        <v>129</v>
      </c>
      <c r="I16" s="5" t="s">
        <v>130</v>
      </c>
    </row>
    <row r="17" spans="1:9" x14ac:dyDescent="0.25">
      <c r="A17" t="s">
        <v>123</v>
      </c>
      <c r="B17">
        <v>466.64280963926223</v>
      </c>
      <c r="C17">
        <v>79.205401488280643</v>
      </c>
      <c r="D17">
        <v>5.8915528596658584</v>
      </c>
      <c r="E17">
        <v>7.3264865979842055E-7</v>
      </c>
      <c r="F17">
        <v>306.43476323105097</v>
      </c>
      <c r="G17">
        <v>626.85085604747348</v>
      </c>
      <c r="H17">
        <v>306.43476323105097</v>
      </c>
      <c r="I17">
        <v>626.85085604747348</v>
      </c>
    </row>
    <row r="18" spans="1:9" ht="15.75" thickBot="1" x14ac:dyDescent="0.3">
      <c r="A18" s="4" t="s">
        <v>131</v>
      </c>
      <c r="B18" s="4">
        <v>-171.41656013518454</v>
      </c>
      <c r="C18" s="4">
        <v>461.60988799344619</v>
      </c>
      <c r="D18" s="4">
        <v>-0.3713450785907304</v>
      </c>
      <c r="E18" s="4">
        <v>0.71239033258842011</v>
      </c>
      <c r="F18" s="4">
        <v>-1105.1106891787138</v>
      </c>
      <c r="G18" s="4">
        <v>762.27756890834462</v>
      </c>
      <c r="H18" s="4">
        <v>-1105.1106891787138</v>
      </c>
      <c r="I18" s="4">
        <v>762.27756890834462</v>
      </c>
    </row>
    <row r="22" spans="1:9" x14ac:dyDescent="0.25">
      <c r="A22" t="s">
        <v>132</v>
      </c>
      <c r="F22" t="s">
        <v>137</v>
      </c>
    </row>
    <row r="23" spans="1:9" ht="15.75" thickBot="1" x14ac:dyDescent="0.3"/>
    <row r="24" spans="1:9" x14ac:dyDescent="0.25">
      <c r="A24" s="5" t="s">
        <v>133</v>
      </c>
      <c r="B24" s="5" t="s">
        <v>134</v>
      </c>
      <c r="C24" s="5" t="s">
        <v>135</v>
      </c>
      <c r="D24" s="5" t="s">
        <v>136</v>
      </c>
      <c r="F24" s="5" t="s">
        <v>138</v>
      </c>
      <c r="G24" s="5" t="s">
        <v>139</v>
      </c>
    </row>
    <row r="25" spans="1:9" x14ac:dyDescent="0.25">
      <c r="A25">
        <v>1</v>
      </c>
      <c r="B25">
        <v>444.35865682168821</v>
      </c>
      <c r="C25">
        <v>357.30134317831175</v>
      </c>
      <c r="D25">
        <v>1.3605175527421514</v>
      </c>
      <c r="F25">
        <v>1.2195121951219512</v>
      </c>
      <c r="G25">
        <v>6.58</v>
      </c>
    </row>
    <row r="26" spans="1:9" x14ac:dyDescent="0.25">
      <c r="A26">
        <v>2</v>
      </c>
      <c r="B26">
        <v>456.35781603115117</v>
      </c>
      <c r="C26">
        <v>-231.32781603115117</v>
      </c>
      <c r="D26">
        <v>-0.88084066896671076</v>
      </c>
      <c r="F26">
        <v>3.6585365853658534</v>
      </c>
      <c r="G26">
        <v>29.01</v>
      </c>
    </row>
    <row r="27" spans="1:9" x14ac:dyDescent="0.25">
      <c r="A27">
        <v>3</v>
      </c>
      <c r="B27">
        <v>425.50283520681796</v>
      </c>
      <c r="C27">
        <v>119.48716479318205</v>
      </c>
      <c r="D27">
        <v>0.45497837646636052</v>
      </c>
      <c r="F27">
        <v>6.0975609756097562</v>
      </c>
      <c r="G27">
        <v>42.59</v>
      </c>
    </row>
    <row r="28" spans="1:9" x14ac:dyDescent="0.25">
      <c r="A28">
        <v>4</v>
      </c>
      <c r="B28">
        <v>464.92864403791037</v>
      </c>
      <c r="C28">
        <v>-307.90864403791034</v>
      </c>
      <c r="D28">
        <v>-1.1724420376599363</v>
      </c>
      <c r="F28">
        <v>8.5365853658536572</v>
      </c>
      <c r="G28">
        <v>109.35</v>
      </c>
    </row>
    <row r="29" spans="1:9" x14ac:dyDescent="0.25">
      <c r="A29">
        <v>5</v>
      </c>
      <c r="B29">
        <v>442.64449122033636</v>
      </c>
      <c r="C29">
        <v>-287.13449122033637</v>
      </c>
      <c r="D29">
        <v>-1.093339061723033</v>
      </c>
      <c r="F29">
        <v>10.97560975609756</v>
      </c>
      <c r="G29">
        <v>137.79</v>
      </c>
    </row>
    <row r="30" spans="1:9" x14ac:dyDescent="0.25">
      <c r="A30">
        <v>6</v>
      </c>
      <c r="B30">
        <v>435.78782881492901</v>
      </c>
      <c r="C30">
        <v>-210.13782881492901</v>
      </c>
      <c r="D30">
        <v>-0.80015429568413199</v>
      </c>
      <c r="F30">
        <v>13.414634146341463</v>
      </c>
      <c r="G30">
        <v>144.08000000000001</v>
      </c>
    </row>
    <row r="31" spans="1:9" x14ac:dyDescent="0.25">
      <c r="A31">
        <v>7</v>
      </c>
      <c r="B31">
        <v>451.21531922709562</v>
      </c>
      <c r="C31">
        <v>180.74468077290442</v>
      </c>
      <c r="D31">
        <v>0.68823225955127021</v>
      </c>
      <c r="F31">
        <v>15.853658536585364</v>
      </c>
      <c r="G31">
        <v>155.51</v>
      </c>
    </row>
    <row r="32" spans="1:9" x14ac:dyDescent="0.25">
      <c r="A32">
        <v>8</v>
      </c>
      <c r="B32">
        <v>416.93200720005871</v>
      </c>
      <c r="C32">
        <v>105.9379927999413</v>
      </c>
      <c r="D32">
        <v>0.40338638927159942</v>
      </c>
      <c r="F32">
        <v>18.292682926829269</v>
      </c>
      <c r="G32">
        <v>157.02000000000001</v>
      </c>
    </row>
    <row r="33" spans="1:7" x14ac:dyDescent="0.25">
      <c r="A33">
        <v>9</v>
      </c>
      <c r="B33">
        <v>446.07282242304007</v>
      </c>
      <c r="C33">
        <v>-243.41282242304007</v>
      </c>
      <c r="D33">
        <v>-0.92685746581082618</v>
      </c>
      <c r="F33">
        <v>20.73170731707317</v>
      </c>
      <c r="G33">
        <v>189.87</v>
      </c>
    </row>
    <row r="34" spans="1:7" x14ac:dyDescent="0.25">
      <c r="A34">
        <v>10</v>
      </c>
      <c r="B34">
        <v>427.21700080816976</v>
      </c>
      <c r="C34">
        <v>-25.697000808169776</v>
      </c>
      <c r="D34">
        <v>-9.7847996711551075E-2</v>
      </c>
      <c r="F34">
        <v>23.170731707317071</v>
      </c>
      <c r="G34">
        <v>202.66</v>
      </c>
    </row>
    <row r="35" spans="1:7" x14ac:dyDescent="0.25">
      <c r="A35">
        <v>11</v>
      </c>
      <c r="B35">
        <v>456.35781603115117</v>
      </c>
      <c r="C35">
        <v>-110.04781603115117</v>
      </c>
      <c r="D35">
        <v>-0.41903560736574486</v>
      </c>
      <c r="F35">
        <v>25.609756097560975</v>
      </c>
      <c r="G35">
        <v>218.68</v>
      </c>
    </row>
    <row r="36" spans="1:7" x14ac:dyDescent="0.25">
      <c r="A36">
        <v>12</v>
      </c>
      <c r="B36">
        <v>458.07198163250303</v>
      </c>
      <c r="C36">
        <v>-23.921981632503048</v>
      </c>
      <c r="D36">
        <v>-9.1089150737262911E-2</v>
      </c>
      <c r="F36">
        <v>28.048780487804876</v>
      </c>
      <c r="G36">
        <v>225.03</v>
      </c>
    </row>
    <row r="37" spans="1:7" x14ac:dyDescent="0.25">
      <c r="A37">
        <v>13</v>
      </c>
      <c r="B37">
        <v>423.78866960546611</v>
      </c>
      <c r="C37">
        <v>-233.91866960546611</v>
      </c>
      <c r="D37">
        <v>-0.89070601605184918</v>
      </c>
      <c r="F37">
        <v>30.487804878048777</v>
      </c>
      <c r="G37">
        <v>225.65</v>
      </c>
    </row>
    <row r="38" spans="1:7" x14ac:dyDescent="0.25">
      <c r="A38">
        <v>14</v>
      </c>
      <c r="B38">
        <v>440.93032561898457</v>
      </c>
      <c r="C38">
        <v>118.16967438101545</v>
      </c>
      <c r="D38">
        <v>0.4499616899479793</v>
      </c>
      <c r="F38">
        <v>32.926829268292686</v>
      </c>
      <c r="G38">
        <v>316.88</v>
      </c>
    </row>
    <row r="39" spans="1:7" x14ac:dyDescent="0.25">
      <c r="A39">
        <v>15</v>
      </c>
      <c r="B39">
        <v>422.07450400411426</v>
      </c>
      <c r="C39">
        <v>-393.06450400411427</v>
      </c>
      <c r="D39">
        <v>-1.4966950650129709</v>
      </c>
      <c r="F39">
        <v>35.365853658536587</v>
      </c>
      <c r="G39">
        <v>327.64</v>
      </c>
    </row>
    <row r="40" spans="1:7" x14ac:dyDescent="0.25">
      <c r="A40">
        <v>16</v>
      </c>
      <c r="B40">
        <v>428.93116640952161</v>
      </c>
      <c r="C40">
        <v>112.56883359047839</v>
      </c>
      <c r="D40">
        <v>0.42863503570745182</v>
      </c>
      <c r="F40">
        <v>37.804878048780488</v>
      </c>
      <c r="G40">
        <v>330.09</v>
      </c>
    </row>
    <row r="41" spans="1:7" x14ac:dyDescent="0.25">
      <c r="A41">
        <v>17</v>
      </c>
      <c r="B41">
        <v>434.07366321357716</v>
      </c>
      <c r="C41">
        <v>-215.39366321357716</v>
      </c>
      <c r="D41">
        <v>-0.82016724858842105</v>
      </c>
      <c r="F41">
        <v>40.243902439024389</v>
      </c>
      <c r="G41">
        <v>346.31</v>
      </c>
    </row>
    <row r="42" spans="1:7" x14ac:dyDescent="0.25">
      <c r="A42">
        <v>18</v>
      </c>
      <c r="B42">
        <v>422.07450400411426</v>
      </c>
      <c r="C42">
        <v>16.995495995885733</v>
      </c>
      <c r="D42">
        <v>6.4714759855862308E-2</v>
      </c>
      <c r="F42">
        <v>42.68292682926829</v>
      </c>
      <c r="G42">
        <v>361.67</v>
      </c>
    </row>
    <row r="43" spans="1:7" x14ac:dyDescent="0.25">
      <c r="A43">
        <v>19</v>
      </c>
      <c r="B43">
        <v>446.07282242304007</v>
      </c>
      <c r="C43">
        <v>403.74717757695998</v>
      </c>
      <c r="D43">
        <v>1.5373721158653046</v>
      </c>
      <c r="F43">
        <v>45.121951219512191</v>
      </c>
      <c r="G43">
        <v>401.52</v>
      </c>
    </row>
    <row r="44" spans="1:7" x14ac:dyDescent="0.25">
      <c r="A44">
        <v>20</v>
      </c>
      <c r="B44">
        <v>418.64617280141056</v>
      </c>
      <c r="C44">
        <v>468.0438271985895</v>
      </c>
      <c r="D44">
        <v>1.7821982886823589</v>
      </c>
      <c r="F44">
        <v>47.560975609756099</v>
      </c>
      <c r="G44">
        <v>423.86</v>
      </c>
    </row>
    <row r="45" spans="1:7" x14ac:dyDescent="0.25">
      <c r="A45">
        <v>21</v>
      </c>
      <c r="B45">
        <v>459.78614723385482</v>
      </c>
      <c r="C45">
        <v>-321.9961472338548</v>
      </c>
      <c r="D45">
        <v>-1.22608386055907</v>
      </c>
      <c r="F45">
        <v>50</v>
      </c>
      <c r="G45">
        <v>434.15</v>
      </c>
    </row>
    <row r="46" spans="1:7" x14ac:dyDescent="0.25">
      <c r="A46">
        <v>22</v>
      </c>
      <c r="B46">
        <v>459.78614723385482</v>
      </c>
      <c r="C46">
        <v>-453.20614723385484</v>
      </c>
      <c r="D46">
        <v>-1.7256999731304978</v>
      </c>
      <c r="F46">
        <v>52.439024390243901</v>
      </c>
      <c r="G46">
        <v>439.07</v>
      </c>
    </row>
    <row r="47" spans="1:7" x14ac:dyDescent="0.25">
      <c r="A47">
        <v>23</v>
      </c>
      <c r="B47">
        <v>459.78614723385482</v>
      </c>
      <c r="C47">
        <v>428.41385276614523</v>
      </c>
      <c r="D47">
        <v>1.6312968805027774</v>
      </c>
      <c r="F47">
        <v>54.878048780487802</v>
      </c>
      <c r="G47">
        <v>511.03</v>
      </c>
    </row>
    <row r="48" spans="1:7" x14ac:dyDescent="0.25">
      <c r="A48">
        <v>24</v>
      </c>
      <c r="B48">
        <v>440.93032561898457</v>
      </c>
      <c r="C48">
        <v>-331.5803256189846</v>
      </c>
      <c r="D48">
        <v>-1.2625781060203127</v>
      </c>
      <c r="F48">
        <v>57.317073170731703</v>
      </c>
      <c r="G48">
        <v>513.82000000000005</v>
      </c>
    </row>
    <row r="49" spans="1:7" x14ac:dyDescent="0.25">
      <c r="A49">
        <v>25</v>
      </c>
      <c r="B49">
        <v>418.64617280141056</v>
      </c>
      <c r="C49">
        <v>-274.56617280141052</v>
      </c>
      <c r="D49">
        <v>-1.0454819289585822</v>
      </c>
      <c r="F49">
        <v>59.756097560975604</v>
      </c>
      <c r="G49">
        <v>522.87</v>
      </c>
    </row>
    <row r="50" spans="1:7" x14ac:dyDescent="0.25">
      <c r="A50">
        <v>26</v>
      </c>
      <c r="B50">
        <v>432.35949761222531</v>
      </c>
      <c r="C50">
        <v>144.23050238777472</v>
      </c>
      <c r="D50">
        <v>0.54919505309964189</v>
      </c>
      <c r="F50">
        <v>62.195121951219512</v>
      </c>
      <c r="G50">
        <v>541.5</v>
      </c>
    </row>
    <row r="51" spans="1:7" x14ac:dyDescent="0.25">
      <c r="A51">
        <v>27</v>
      </c>
      <c r="B51">
        <v>447.78698802439192</v>
      </c>
      <c r="C51">
        <v>506.62301197560805</v>
      </c>
      <c r="D51">
        <v>1.9290985426604763</v>
      </c>
      <c r="F51">
        <v>64.634146341463421</v>
      </c>
      <c r="G51">
        <v>544.99</v>
      </c>
    </row>
    <row r="52" spans="1:7" x14ac:dyDescent="0.25">
      <c r="A52">
        <v>28</v>
      </c>
      <c r="B52">
        <v>458.07198163250303</v>
      </c>
      <c r="C52">
        <v>55.748018367497025</v>
      </c>
      <c r="D52">
        <v>0.21227504169140621</v>
      </c>
      <c r="F52">
        <v>67.073170731707322</v>
      </c>
      <c r="G52">
        <v>559.1</v>
      </c>
    </row>
    <row r="53" spans="1:7" x14ac:dyDescent="0.25">
      <c r="A53">
        <v>29</v>
      </c>
      <c r="B53">
        <v>447.78698802439192</v>
      </c>
      <c r="C53">
        <v>320.10301197560807</v>
      </c>
      <c r="D53">
        <v>1.2188752569595187</v>
      </c>
      <c r="F53">
        <v>69.512195121951223</v>
      </c>
      <c r="G53">
        <v>560.67999999999995</v>
      </c>
    </row>
    <row r="54" spans="1:7" x14ac:dyDescent="0.25">
      <c r="A54">
        <v>30</v>
      </c>
      <c r="B54">
        <v>464.92864403791037</v>
      </c>
      <c r="C54">
        <v>188.86135596208959</v>
      </c>
      <c r="D54">
        <v>0.71913860590463996</v>
      </c>
      <c r="F54">
        <v>71.951219512195124</v>
      </c>
      <c r="G54">
        <v>576.59</v>
      </c>
    </row>
    <row r="55" spans="1:7" x14ac:dyDescent="0.25">
      <c r="A55">
        <v>31</v>
      </c>
      <c r="B55">
        <v>456.35781603115117</v>
      </c>
      <c r="C55">
        <v>-94.687816031151158</v>
      </c>
      <c r="D55">
        <v>-0.36054842278303667</v>
      </c>
      <c r="F55">
        <v>74.390243902439025</v>
      </c>
      <c r="G55">
        <v>623.45000000000005</v>
      </c>
    </row>
    <row r="56" spans="1:7" x14ac:dyDescent="0.25">
      <c r="A56">
        <v>32</v>
      </c>
      <c r="B56">
        <v>418.64617280141056</v>
      </c>
      <c r="C56">
        <v>-91.006172801410571</v>
      </c>
      <c r="D56">
        <v>-0.3465296111199172</v>
      </c>
      <c r="F56">
        <v>76.829268292682926</v>
      </c>
      <c r="G56">
        <v>629.44000000000005</v>
      </c>
    </row>
    <row r="57" spans="1:7" x14ac:dyDescent="0.25">
      <c r="A57">
        <v>33</v>
      </c>
      <c r="B57">
        <v>444.35865682168821</v>
      </c>
      <c r="C57">
        <v>179.09134317831183</v>
      </c>
      <c r="D57">
        <v>0.68193674776269808</v>
      </c>
      <c r="F57">
        <v>79.268292682926827</v>
      </c>
      <c r="G57">
        <v>631.96</v>
      </c>
    </row>
    <row r="58" spans="1:7" x14ac:dyDescent="0.25">
      <c r="A58">
        <v>34</v>
      </c>
      <c r="B58">
        <v>439.21616001763272</v>
      </c>
      <c r="C58">
        <v>-122.33616001763272</v>
      </c>
      <c r="D58">
        <v>-0.46582666484967433</v>
      </c>
      <c r="F58">
        <v>81.707317073170728</v>
      </c>
      <c r="G58">
        <v>653.79</v>
      </c>
    </row>
    <row r="59" spans="1:7" x14ac:dyDescent="0.25">
      <c r="A59">
        <v>35</v>
      </c>
      <c r="B59">
        <v>428.93116640952161</v>
      </c>
      <c r="C59">
        <v>131.74883359047834</v>
      </c>
      <c r="D59">
        <v>0.50166786124757801</v>
      </c>
      <c r="F59">
        <v>84.146341463414629</v>
      </c>
      <c r="G59">
        <v>767.89</v>
      </c>
    </row>
    <row r="60" spans="1:7" x14ac:dyDescent="0.25">
      <c r="A60">
        <v>36</v>
      </c>
      <c r="B60">
        <v>422.07450400411426</v>
      </c>
      <c r="C60">
        <v>1.7854959958857535</v>
      </c>
      <c r="D60">
        <v>6.7987391850948091E-3</v>
      </c>
      <c r="F60">
        <v>86.58536585365853</v>
      </c>
      <c r="G60">
        <v>801.66</v>
      </c>
    </row>
    <row r="61" spans="1:7" x14ac:dyDescent="0.25">
      <c r="A61">
        <v>37</v>
      </c>
      <c r="B61">
        <v>427.21700080816976</v>
      </c>
      <c r="C61">
        <v>202.2229991918303</v>
      </c>
      <c r="D61">
        <v>0.77001652868498738</v>
      </c>
      <c r="F61">
        <v>89.024390243902431</v>
      </c>
      <c r="G61">
        <v>849.82</v>
      </c>
    </row>
    <row r="62" spans="1:7" x14ac:dyDescent="0.25">
      <c r="A62">
        <v>38</v>
      </c>
      <c r="B62">
        <v>430.64533201087346</v>
      </c>
      <c r="C62">
        <v>-100.55533201087349</v>
      </c>
      <c r="D62">
        <v>-0.38289051198538104</v>
      </c>
      <c r="F62">
        <v>91.463414634146332</v>
      </c>
      <c r="G62">
        <v>862.67</v>
      </c>
    </row>
    <row r="63" spans="1:7" x14ac:dyDescent="0.25">
      <c r="A63">
        <v>39</v>
      </c>
      <c r="B63">
        <v>464.92864403791037</v>
      </c>
      <c r="C63">
        <v>397.74135596208959</v>
      </c>
      <c r="D63">
        <v>1.5145033920788629</v>
      </c>
      <c r="F63">
        <v>93.902439024390247</v>
      </c>
      <c r="G63">
        <v>886.69</v>
      </c>
    </row>
    <row r="64" spans="1:7" x14ac:dyDescent="0.25">
      <c r="A64">
        <v>40</v>
      </c>
      <c r="B64">
        <v>464.92864403791037</v>
      </c>
      <c r="C64">
        <v>46.101355962089599</v>
      </c>
      <c r="D64">
        <v>0.17554287211379324</v>
      </c>
      <c r="F64">
        <v>96.341463414634148</v>
      </c>
      <c r="G64">
        <v>888.2</v>
      </c>
    </row>
    <row r="65" spans="1:7" ht="15.75" thickBot="1" x14ac:dyDescent="0.3">
      <c r="A65" s="4">
        <v>41</v>
      </c>
      <c r="B65" s="4">
        <v>456.35781603115117</v>
      </c>
      <c r="C65" s="4">
        <v>-413.76781603115114</v>
      </c>
      <c r="D65" s="4">
        <v>-1.5755282962628867</v>
      </c>
      <c r="F65" s="4">
        <v>98.780487804878049</v>
      </c>
      <c r="G65" s="4">
        <v>954.41</v>
      </c>
    </row>
  </sheetData>
  <sortState xmlns:xlrd2="http://schemas.microsoft.com/office/spreadsheetml/2017/richdata2" ref="G25:G65">
    <sortCondition ref="G25"/>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61D7F-9C51-474E-A31C-A7B469823427}">
  <dimension ref="A1:G54"/>
  <sheetViews>
    <sheetView workbookViewId="0">
      <selection activeCell="H27" sqref="H27"/>
    </sheetView>
  </sheetViews>
  <sheetFormatPr defaultRowHeight="15" x14ac:dyDescent="0.25"/>
  <cols>
    <col min="1" max="1" width="11.140625" bestFit="1" customWidth="1"/>
    <col min="2" max="2" width="6.85546875" bestFit="1" customWidth="1"/>
    <col min="3" max="5" width="12" bestFit="1" customWidth="1"/>
  </cols>
  <sheetData>
    <row r="1" spans="1:5" x14ac:dyDescent="0.25">
      <c r="A1" t="s">
        <v>140</v>
      </c>
    </row>
    <row r="2" spans="1:5" ht="15.75" thickBot="1" x14ac:dyDescent="0.3"/>
    <row r="3" spans="1:5" x14ac:dyDescent="0.25">
      <c r="A3" s="5" t="s">
        <v>95</v>
      </c>
      <c r="B3" s="5" t="s">
        <v>86</v>
      </c>
      <c r="C3" s="5" t="s">
        <v>85</v>
      </c>
      <c r="D3" s="5" t="s">
        <v>97</v>
      </c>
      <c r="E3" s="5" t="s">
        <v>98</v>
      </c>
    </row>
    <row r="4" spans="1:5" x14ac:dyDescent="0.25">
      <c r="A4">
        <v>3400</v>
      </c>
      <c r="B4">
        <v>1</v>
      </c>
      <c r="C4">
        <v>3400</v>
      </c>
      <c r="D4">
        <v>3400</v>
      </c>
      <c r="E4" t="e">
        <v>#DIV/0!</v>
      </c>
    </row>
    <row r="5" spans="1:5" x14ac:dyDescent="0.25">
      <c r="A5">
        <v>6100</v>
      </c>
      <c r="B5">
        <v>1</v>
      </c>
      <c r="C5">
        <v>5290</v>
      </c>
      <c r="D5">
        <v>5290</v>
      </c>
      <c r="E5" t="e">
        <v>#DIV/0!</v>
      </c>
    </row>
    <row r="6" spans="1:5" x14ac:dyDescent="0.25">
      <c r="A6">
        <v>2800</v>
      </c>
      <c r="B6">
        <v>1</v>
      </c>
      <c r="C6">
        <v>3547</v>
      </c>
      <c r="D6">
        <v>3547</v>
      </c>
      <c r="E6" t="e">
        <v>#DIV/0!</v>
      </c>
    </row>
    <row r="7" spans="1:5" x14ac:dyDescent="0.25">
      <c r="A7">
        <v>7500</v>
      </c>
      <c r="B7">
        <v>1</v>
      </c>
      <c r="C7">
        <v>6314.1</v>
      </c>
      <c r="D7">
        <v>6314.1</v>
      </c>
      <c r="E7" t="e">
        <v>#DIV/0!</v>
      </c>
    </row>
    <row r="8" spans="1:5" x14ac:dyDescent="0.25">
      <c r="A8">
        <v>4100</v>
      </c>
      <c r="B8">
        <v>1</v>
      </c>
      <c r="C8">
        <v>4764.2299999999996</v>
      </c>
      <c r="D8">
        <v>4764.2299999999996</v>
      </c>
      <c r="E8" t="e">
        <v>#DIV/0!</v>
      </c>
    </row>
    <row r="9" spans="1:5" x14ac:dyDescent="0.25">
      <c r="A9">
        <v>3200</v>
      </c>
      <c r="B9">
        <v>1</v>
      </c>
      <c r="C9">
        <v>3669.2689999999998</v>
      </c>
      <c r="D9">
        <v>3669.2689999999998</v>
      </c>
      <c r="E9" t="e">
        <v>#DIV/0!</v>
      </c>
    </row>
    <row r="10" spans="1:5" x14ac:dyDescent="0.25">
      <c r="A10">
        <v>5600</v>
      </c>
      <c r="B10">
        <v>1</v>
      </c>
      <c r="C10">
        <v>5020.7806999999993</v>
      </c>
      <c r="D10">
        <v>5020.7806999999993</v>
      </c>
      <c r="E10" t="e">
        <v>#DIV/0!</v>
      </c>
    </row>
    <row r="11" spans="1:5" x14ac:dyDescent="0.25">
      <c r="A11">
        <v>4900</v>
      </c>
      <c r="B11">
        <v>1</v>
      </c>
      <c r="C11">
        <v>4936.2342099999996</v>
      </c>
      <c r="D11">
        <v>4936.2342099999996</v>
      </c>
      <c r="E11" t="e">
        <v>#DIV/0!</v>
      </c>
    </row>
    <row r="12" spans="1:5" x14ac:dyDescent="0.25">
      <c r="A12">
        <v>2200</v>
      </c>
      <c r="B12">
        <v>1</v>
      </c>
      <c r="C12">
        <v>3020.8702629999998</v>
      </c>
      <c r="D12">
        <v>3020.8702629999998</v>
      </c>
      <c r="E12" t="e">
        <v>#DIV/0!</v>
      </c>
    </row>
    <row r="13" spans="1:5" x14ac:dyDescent="0.25">
      <c r="A13">
        <v>6800</v>
      </c>
      <c r="B13">
        <v>1</v>
      </c>
      <c r="C13">
        <v>5666.2610789</v>
      </c>
      <c r="D13">
        <v>5666.2610789</v>
      </c>
      <c r="E13" t="e">
        <v>#DIV/0!</v>
      </c>
    </row>
    <row r="14" spans="1:5" x14ac:dyDescent="0.25">
      <c r="A14">
        <v>3700</v>
      </c>
      <c r="B14">
        <v>1</v>
      </c>
      <c r="C14">
        <v>4289.8783236700001</v>
      </c>
      <c r="D14">
        <v>4289.8783236700001</v>
      </c>
      <c r="E14" t="e">
        <v>#DIV/0!</v>
      </c>
    </row>
    <row r="15" spans="1:5" x14ac:dyDescent="0.25">
      <c r="A15">
        <v>8100</v>
      </c>
      <c r="B15">
        <v>1</v>
      </c>
      <c r="C15">
        <v>6956.963497101</v>
      </c>
      <c r="D15">
        <v>6956.963497101</v>
      </c>
      <c r="E15" t="e">
        <v>#DIV/0!</v>
      </c>
    </row>
    <row r="16" spans="1:5" x14ac:dyDescent="0.25">
      <c r="A16">
        <v>4600</v>
      </c>
      <c r="B16">
        <v>1</v>
      </c>
      <c r="C16">
        <v>5307.0890491302998</v>
      </c>
      <c r="D16">
        <v>5307.0890491302998</v>
      </c>
      <c r="E16" t="e">
        <v>#DIV/0!</v>
      </c>
    </row>
    <row r="17" spans="1:5" x14ac:dyDescent="0.25">
      <c r="A17">
        <v>2900</v>
      </c>
      <c r="B17">
        <v>1</v>
      </c>
      <c r="C17">
        <v>3622.1267147390899</v>
      </c>
      <c r="D17">
        <v>3622.1267147390899</v>
      </c>
      <c r="E17" t="e">
        <v>#DIV/0!</v>
      </c>
    </row>
    <row r="18" spans="1:5" x14ac:dyDescent="0.25">
      <c r="A18">
        <v>6200</v>
      </c>
      <c r="B18">
        <v>1</v>
      </c>
      <c r="C18">
        <v>5426.6380144217273</v>
      </c>
      <c r="D18">
        <v>5426.6380144217273</v>
      </c>
      <c r="E18" t="e">
        <v>#DIV/0!</v>
      </c>
    </row>
    <row r="19" spans="1:5" x14ac:dyDescent="0.25">
      <c r="A19">
        <v>5300</v>
      </c>
      <c r="B19">
        <v>1</v>
      </c>
      <c r="C19">
        <v>5337.991404326518</v>
      </c>
      <c r="D19">
        <v>5337.991404326518</v>
      </c>
      <c r="E19" t="e">
        <v>#DIV/0!</v>
      </c>
    </row>
    <row r="20" spans="1:5" x14ac:dyDescent="0.25">
      <c r="A20">
        <v>3100</v>
      </c>
      <c r="B20">
        <v>1</v>
      </c>
      <c r="C20">
        <v>3771.3974212979556</v>
      </c>
      <c r="D20">
        <v>3771.3974212979556</v>
      </c>
      <c r="E20" t="e">
        <v>#DIV/0!</v>
      </c>
    </row>
    <row r="21" spans="1:5" x14ac:dyDescent="0.25">
      <c r="A21">
        <v>7200</v>
      </c>
      <c r="B21">
        <v>1</v>
      </c>
      <c r="C21">
        <v>6171.4192263893865</v>
      </c>
      <c r="D21">
        <v>6171.4192263893865</v>
      </c>
      <c r="E21" t="e">
        <v>#DIV/0!</v>
      </c>
    </row>
    <row r="22" spans="1:5" x14ac:dyDescent="0.25">
      <c r="A22">
        <v>4300</v>
      </c>
      <c r="B22">
        <v>1</v>
      </c>
      <c r="C22">
        <v>4861.4257679168159</v>
      </c>
      <c r="D22">
        <v>4861.4257679168159</v>
      </c>
      <c r="E22" t="e">
        <v>#DIV/0!</v>
      </c>
    </row>
    <row r="23" spans="1:5" x14ac:dyDescent="0.25">
      <c r="A23">
        <v>6700</v>
      </c>
      <c r="B23">
        <v>1</v>
      </c>
      <c r="C23">
        <v>6148.427730375045</v>
      </c>
      <c r="D23">
        <v>6148.427730375045</v>
      </c>
      <c r="E23" t="e">
        <v>#DIV/0!</v>
      </c>
    </row>
    <row r="24" spans="1:5" x14ac:dyDescent="0.25">
      <c r="A24">
        <v>2500</v>
      </c>
      <c r="B24">
        <v>1</v>
      </c>
      <c r="C24">
        <v>3594.5283191125136</v>
      </c>
      <c r="D24">
        <v>3594.5283191125136</v>
      </c>
      <c r="E24" t="e">
        <v>#DIV/0!</v>
      </c>
    </row>
    <row r="25" spans="1:5" x14ac:dyDescent="0.25">
      <c r="A25">
        <v>5800</v>
      </c>
      <c r="B25">
        <v>1</v>
      </c>
      <c r="C25">
        <v>5138.3584957337534</v>
      </c>
      <c r="D25">
        <v>5138.3584957337534</v>
      </c>
      <c r="E25" t="e">
        <v>#DIV/0!</v>
      </c>
    </row>
    <row r="26" spans="1:5" x14ac:dyDescent="0.25">
      <c r="A26">
        <v>3900</v>
      </c>
      <c r="B26">
        <v>1</v>
      </c>
      <c r="C26">
        <v>4271.5075487201257</v>
      </c>
      <c r="D26">
        <v>4271.5075487201257</v>
      </c>
      <c r="E26" t="e">
        <v>#DIV/0!</v>
      </c>
    </row>
    <row r="27" spans="1:5" x14ac:dyDescent="0.25">
      <c r="A27">
        <v>8400</v>
      </c>
      <c r="B27">
        <v>1</v>
      </c>
      <c r="C27">
        <v>7161.4522646160376</v>
      </c>
      <c r="D27">
        <v>7161.4522646160376</v>
      </c>
      <c r="E27" t="e">
        <v>#DIV/0!</v>
      </c>
    </row>
    <row r="28" spans="1:5" x14ac:dyDescent="0.25">
      <c r="A28">
        <v>4700</v>
      </c>
      <c r="B28">
        <v>1</v>
      </c>
      <c r="C28">
        <v>5438.435679384811</v>
      </c>
      <c r="D28">
        <v>5438.435679384811</v>
      </c>
      <c r="E28" t="e">
        <v>#DIV/0!</v>
      </c>
    </row>
    <row r="29" spans="1:5" x14ac:dyDescent="0.25">
      <c r="A29">
        <v>3400</v>
      </c>
      <c r="B29">
        <v>1</v>
      </c>
      <c r="C29">
        <v>4011.5307038154433</v>
      </c>
      <c r="D29">
        <v>4011.5307038154433</v>
      </c>
      <c r="E29" t="e">
        <v>#DIV/0!</v>
      </c>
    </row>
    <row r="30" spans="1:5" x14ac:dyDescent="0.25">
      <c r="A30">
        <v>6500</v>
      </c>
      <c r="B30">
        <v>1</v>
      </c>
      <c r="C30">
        <v>5753.4592111446327</v>
      </c>
      <c r="D30">
        <v>5753.4592111446327</v>
      </c>
      <c r="E30" t="e">
        <v>#DIV/0!</v>
      </c>
    </row>
    <row r="31" spans="1:5" x14ac:dyDescent="0.25">
      <c r="A31">
        <v>5600</v>
      </c>
      <c r="B31">
        <v>1</v>
      </c>
      <c r="C31">
        <v>5646.0377633433891</v>
      </c>
      <c r="D31">
        <v>5646.0377633433891</v>
      </c>
      <c r="E31" t="e">
        <v>#DIV/0!</v>
      </c>
    </row>
    <row r="32" spans="1:5" x14ac:dyDescent="0.25">
      <c r="A32">
        <v>2800</v>
      </c>
      <c r="B32">
        <v>1</v>
      </c>
      <c r="C32">
        <v>3653.8113290030165</v>
      </c>
      <c r="D32">
        <v>3653.8113290030165</v>
      </c>
      <c r="E32" t="e">
        <v>#DIV/0!</v>
      </c>
    </row>
    <row r="33" spans="1:5" x14ac:dyDescent="0.25">
      <c r="A33">
        <v>7700</v>
      </c>
      <c r="B33">
        <v>1</v>
      </c>
      <c r="C33">
        <v>6486.143398700905</v>
      </c>
      <c r="D33">
        <v>6486.143398700905</v>
      </c>
      <c r="E33" t="e">
        <v>#DIV/0!</v>
      </c>
    </row>
    <row r="34" spans="1:5" x14ac:dyDescent="0.25">
      <c r="A34">
        <v>4500</v>
      </c>
      <c r="B34">
        <v>1</v>
      </c>
      <c r="C34">
        <v>5095.8430196102709</v>
      </c>
      <c r="D34">
        <v>5095.8430196102709</v>
      </c>
      <c r="E34" t="e">
        <v>#DIV/0!</v>
      </c>
    </row>
    <row r="35" spans="1:5" x14ac:dyDescent="0.25">
      <c r="A35">
        <v>6100</v>
      </c>
      <c r="B35">
        <v>1</v>
      </c>
      <c r="C35">
        <v>5798.7529058830814</v>
      </c>
      <c r="D35">
        <v>5798.7529058830814</v>
      </c>
      <c r="E35" t="e">
        <v>#DIV/0!</v>
      </c>
    </row>
    <row r="36" spans="1:5" x14ac:dyDescent="0.25">
      <c r="A36">
        <v>3600</v>
      </c>
      <c r="B36">
        <v>1</v>
      </c>
      <c r="C36">
        <v>4259.6258717649243</v>
      </c>
      <c r="D36">
        <v>4259.6258717649243</v>
      </c>
      <c r="E36" t="e">
        <v>#DIV/0!</v>
      </c>
    </row>
    <row r="37" spans="1:5" x14ac:dyDescent="0.25">
      <c r="A37">
        <v>4900</v>
      </c>
      <c r="B37">
        <v>1</v>
      </c>
      <c r="C37">
        <v>4707.8877615294768</v>
      </c>
      <c r="D37">
        <v>4707.8877615294768</v>
      </c>
      <c r="E37" t="e">
        <v>#DIV/0!</v>
      </c>
    </row>
    <row r="38" spans="1:5" x14ac:dyDescent="0.25">
      <c r="A38">
        <v>7000</v>
      </c>
      <c r="B38">
        <v>1</v>
      </c>
      <c r="C38">
        <v>6312.3663284588429</v>
      </c>
      <c r="D38">
        <v>6312.3663284588429</v>
      </c>
      <c r="E38" t="e">
        <v>#DIV/0!</v>
      </c>
    </row>
    <row r="39" spans="1:5" x14ac:dyDescent="0.25">
      <c r="A39">
        <v>3200</v>
      </c>
      <c r="B39">
        <v>1</v>
      </c>
      <c r="C39">
        <v>4133.7098985376524</v>
      </c>
      <c r="D39">
        <v>4133.7098985376524</v>
      </c>
      <c r="E39" t="e">
        <v>#DIV/0!</v>
      </c>
    </row>
    <row r="40" spans="1:5" x14ac:dyDescent="0.25">
      <c r="A40">
        <v>5400</v>
      </c>
      <c r="B40">
        <v>1</v>
      </c>
      <c r="C40">
        <v>5020.1129695612954</v>
      </c>
      <c r="D40">
        <v>5020.1129695612954</v>
      </c>
      <c r="E40" t="e">
        <v>#DIV/0!</v>
      </c>
    </row>
    <row r="41" spans="1:5" x14ac:dyDescent="0.25">
      <c r="A41">
        <v>2600</v>
      </c>
      <c r="B41">
        <v>1</v>
      </c>
      <c r="C41">
        <v>3326.0338908683884</v>
      </c>
      <c r="D41">
        <v>3326.0338908683884</v>
      </c>
      <c r="E41" t="e">
        <v>#DIV/0!</v>
      </c>
    </row>
    <row r="42" spans="1:5" x14ac:dyDescent="0.25">
      <c r="A42">
        <v>5900</v>
      </c>
      <c r="B42">
        <v>1</v>
      </c>
      <c r="C42">
        <v>5127.8101672605162</v>
      </c>
      <c r="D42">
        <v>5127.8101672605162</v>
      </c>
      <c r="E42" t="e">
        <v>#DIV/0!</v>
      </c>
    </row>
    <row r="43" spans="1:5" x14ac:dyDescent="0.25">
      <c r="A43">
        <v>7300</v>
      </c>
      <c r="B43">
        <v>1</v>
      </c>
      <c r="C43">
        <v>1700</v>
      </c>
      <c r="D43">
        <v>1700</v>
      </c>
      <c r="E43" t="e">
        <v>#DIV/0!</v>
      </c>
    </row>
    <row r="45" spans="1:5" ht="15.75" thickBot="1" x14ac:dyDescent="0.3">
      <c r="A45" s="4"/>
      <c r="B45" s="4">
        <v>40</v>
      </c>
      <c r="C45" s="4">
        <v>194159.50992831695</v>
      </c>
      <c r="D45" s="4">
        <v>4853.9877482079237</v>
      </c>
      <c r="E45" s="4">
        <v>1371760.1870027627</v>
      </c>
    </row>
    <row r="48" spans="1:5" ht="15.75" thickBot="1" x14ac:dyDescent="0.3">
      <c r="A48" t="s">
        <v>99</v>
      </c>
    </row>
    <row r="49" spans="1:7" x14ac:dyDescent="0.25">
      <c r="A49" s="5" t="s">
        <v>100</v>
      </c>
      <c r="B49" s="5" t="s">
        <v>101</v>
      </c>
      <c r="C49" s="5" t="s">
        <v>102</v>
      </c>
      <c r="D49" s="5" t="s">
        <v>103</v>
      </c>
      <c r="E49" s="5" t="s">
        <v>104</v>
      </c>
      <c r="F49" s="5" t="s">
        <v>105</v>
      </c>
      <c r="G49" s="5" t="s">
        <v>106</v>
      </c>
    </row>
    <row r="50" spans="1:7" x14ac:dyDescent="0.25">
      <c r="A50" t="s">
        <v>141</v>
      </c>
      <c r="B50">
        <v>53498647.293108322</v>
      </c>
      <c r="C50">
        <v>39</v>
      </c>
      <c r="D50">
        <v>1371760.1870027776</v>
      </c>
      <c r="E50">
        <v>65535</v>
      </c>
      <c r="F50" t="e">
        <v>#NUM!</v>
      </c>
      <c r="G50" t="e">
        <v>#NUM!</v>
      </c>
    </row>
    <row r="51" spans="1:7" x14ac:dyDescent="0.25">
      <c r="A51" t="s">
        <v>142</v>
      </c>
      <c r="B51">
        <v>0</v>
      </c>
      <c r="C51">
        <v>0</v>
      </c>
      <c r="D51">
        <v>65535</v>
      </c>
      <c r="E51">
        <v>65535</v>
      </c>
      <c r="F51" t="e">
        <v>#NUM!</v>
      </c>
      <c r="G51" t="e">
        <v>#NUM!</v>
      </c>
    </row>
    <row r="52" spans="1:7" x14ac:dyDescent="0.25">
      <c r="A52" t="s">
        <v>143</v>
      </c>
      <c r="B52">
        <v>0</v>
      </c>
      <c r="C52">
        <v>0</v>
      </c>
      <c r="D52">
        <v>65535</v>
      </c>
    </row>
    <row r="54" spans="1:7" ht="15.75" thickBot="1" x14ac:dyDescent="0.3">
      <c r="A54" s="4" t="s">
        <v>109</v>
      </c>
      <c r="B54" s="4">
        <v>53498647.293108322</v>
      </c>
      <c r="C54" s="4">
        <v>39</v>
      </c>
      <c r="D54" s="4"/>
      <c r="E54" s="4"/>
      <c r="F54" s="4"/>
      <c r="G54"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D563-CB3D-4AD6-8FA2-00909FDCEFE5}">
  <dimension ref="A1:E11"/>
  <sheetViews>
    <sheetView topLeftCell="A3" workbookViewId="0">
      <selection activeCell="E8" sqref="E8"/>
    </sheetView>
  </sheetViews>
  <sheetFormatPr defaultRowHeight="15" x14ac:dyDescent="0.25"/>
  <cols>
    <col min="1" max="1" width="13.140625" bestFit="1" customWidth="1"/>
    <col min="2" max="2" width="16.28515625" bestFit="1" customWidth="1"/>
    <col min="3" max="3" width="15.42578125" bestFit="1" customWidth="1"/>
    <col min="4" max="4" width="17" bestFit="1" customWidth="1"/>
    <col min="5" max="5" width="20.42578125" bestFit="1" customWidth="1"/>
    <col min="6" max="6" width="12" bestFit="1" customWidth="1"/>
    <col min="7" max="7" width="15.42578125" bestFit="1" customWidth="1"/>
    <col min="8" max="8" width="12" bestFit="1" customWidth="1"/>
    <col min="9" max="9" width="15.42578125" bestFit="1" customWidth="1"/>
    <col min="10" max="10" width="12" bestFit="1" customWidth="1"/>
    <col min="11" max="11" width="15.42578125" bestFit="1" customWidth="1"/>
    <col min="12" max="12" width="17" bestFit="1" customWidth="1"/>
    <col min="13" max="13" width="20.42578125" bestFit="1" customWidth="1"/>
    <col min="14" max="14" width="12.140625" bestFit="1" customWidth="1"/>
    <col min="15" max="15" width="12" bestFit="1" customWidth="1"/>
    <col min="16" max="16" width="15.42578125" bestFit="1" customWidth="1"/>
    <col min="17" max="17" width="17.28515625" bestFit="1" customWidth="1"/>
    <col min="18" max="18" width="17" bestFit="1" customWidth="1"/>
    <col min="19" max="19" width="20.42578125" bestFit="1" customWidth="1"/>
    <col min="20" max="20" width="15.28515625" bestFit="1" customWidth="1"/>
    <col min="21" max="21" width="8.7109375" bestFit="1" customWidth="1"/>
    <col min="22" max="24" width="5" bestFit="1" customWidth="1"/>
    <col min="25" max="25" width="11.7109375" bestFit="1" customWidth="1"/>
    <col min="26" max="26" width="11.28515625" bestFit="1" customWidth="1"/>
  </cols>
  <sheetData>
    <row r="1" spans="1:5" x14ac:dyDescent="0.25">
      <c r="A1" s="26" t="s">
        <v>87</v>
      </c>
      <c r="B1" t="s" vm="1">
        <v>175</v>
      </c>
    </row>
    <row r="3" spans="1:5" x14ac:dyDescent="0.25">
      <c r="B3" s="26" t="s">
        <v>172</v>
      </c>
    </row>
    <row r="4" spans="1:5" x14ac:dyDescent="0.25">
      <c r="B4" t="s">
        <v>27</v>
      </c>
      <c r="D4" t="s">
        <v>178</v>
      </c>
      <c r="E4" t="s">
        <v>176</v>
      </c>
    </row>
    <row r="5" spans="1:5" x14ac:dyDescent="0.25">
      <c r="A5" s="26" t="s">
        <v>156</v>
      </c>
      <c r="B5" t="s">
        <v>173</v>
      </c>
      <c r="C5" t="s">
        <v>177</v>
      </c>
    </row>
    <row r="6" spans="1:5" x14ac:dyDescent="0.25">
      <c r="A6" s="27" t="s">
        <v>20</v>
      </c>
      <c r="B6" s="28">
        <v>157.02000000000001</v>
      </c>
      <c r="C6" s="28">
        <v>2</v>
      </c>
      <c r="D6" s="28">
        <v>157.02000000000001</v>
      </c>
      <c r="E6" s="28">
        <v>2</v>
      </c>
    </row>
    <row r="7" spans="1:5" x14ac:dyDescent="0.25">
      <c r="A7" s="27" t="s">
        <v>31</v>
      </c>
      <c r="B7" s="28">
        <v>786.33</v>
      </c>
      <c r="C7" s="28">
        <v>4</v>
      </c>
      <c r="D7" s="28">
        <v>786.33</v>
      </c>
      <c r="E7" s="28">
        <v>4</v>
      </c>
    </row>
    <row r="8" spans="1:5" x14ac:dyDescent="0.25">
      <c r="A8" s="27" t="s">
        <v>0</v>
      </c>
      <c r="B8" s="28">
        <v>316.88</v>
      </c>
      <c r="C8" s="28">
        <v>3</v>
      </c>
      <c r="D8" s="28">
        <v>316.88</v>
      </c>
      <c r="E8" s="28">
        <v>3</v>
      </c>
    </row>
    <row r="9" spans="1:5" x14ac:dyDescent="0.25">
      <c r="A9" s="27" t="s">
        <v>36</v>
      </c>
      <c r="B9" s="28">
        <v>1010.74</v>
      </c>
      <c r="C9" s="28">
        <v>5</v>
      </c>
      <c r="D9" s="28">
        <v>1010.74</v>
      </c>
      <c r="E9" s="28">
        <v>5</v>
      </c>
    </row>
    <row r="10" spans="1:5" x14ac:dyDescent="0.25">
      <c r="A10" s="27" t="s">
        <v>25</v>
      </c>
      <c r="B10" s="28">
        <v>541.5</v>
      </c>
      <c r="C10" s="28">
        <v>2</v>
      </c>
      <c r="D10" s="28">
        <v>541.5</v>
      </c>
      <c r="E10" s="28">
        <v>2</v>
      </c>
    </row>
    <row r="11" spans="1:5" x14ac:dyDescent="0.25">
      <c r="A11" s="27" t="s">
        <v>157</v>
      </c>
      <c r="B11" s="28">
        <v>2812.47</v>
      </c>
      <c r="C11" s="28">
        <v>16</v>
      </c>
      <c r="D11" s="28">
        <v>2812.47</v>
      </c>
      <c r="E11" s="28">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E04C-71F4-479C-A061-4E25615852A0}">
  <dimension ref="A1:C16"/>
  <sheetViews>
    <sheetView tabSelected="1" workbookViewId="0">
      <selection activeCell="C6" sqref="C6"/>
    </sheetView>
  </sheetViews>
  <sheetFormatPr defaultRowHeight="15" x14ac:dyDescent="0.25"/>
  <cols>
    <col min="1" max="1" width="15.85546875" bestFit="1" customWidth="1"/>
    <col min="2" max="2" width="12.5703125" bestFit="1" customWidth="1"/>
    <col min="3" max="4" width="15.42578125" bestFit="1" customWidth="1"/>
    <col min="5" max="5" width="5.5703125" bestFit="1" customWidth="1"/>
    <col min="6" max="6" width="17.7109375" bestFit="1" customWidth="1"/>
    <col min="7" max="7" width="20.42578125" bestFit="1" customWidth="1"/>
    <col min="8" max="8" width="17.7109375" bestFit="1" customWidth="1"/>
    <col min="9" max="9" width="20.42578125" bestFit="1" customWidth="1"/>
    <col min="10" max="10" width="11" bestFit="1" customWidth="1"/>
    <col min="11" max="13" width="12" bestFit="1" customWidth="1"/>
    <col min="14" max="14" width="11" bestFit="1" customWidth="1"/>
    <col min="15" max="19" width="12" bestFit="1" customWidth="1"/>
    <col min="20" max="20" width="5" bestFit="1" customWidth="1"/>
    <col min="21" max="26" width="12" bestFit="1" customWidth="1"/>
    <col min="27" max="27" width="9" bestFit="1" customWidth="1"/>
    <col min="28" max="28" width="12" bestFit="1" customWidth="1"/>
  </cols>
  <sheetData>
    <row r="1" spans="1:3" x14ac:dyDescent="0.25">
      <c r="A1" s="26" t="s">
        <v>4</v>
      </c>
      <c r="B1" t="s" vm="2">
        <v>175</v>
      </c>
    </row>
    <row r="3" spans="1:3" x14ac:dyDescent="0.25">
      <c r="A3" s="26" t="s">
        <v>156</v>
      </c>
      <c r="B3" t="s">
        <v>179</v>
      </c>
      <c r="C3" t="s">
        <v>180</v>
      </c>
    </row>
    <row r="4" spans="1:3" x14ac:dyDescent="0.25">
      <c r="A4" s="27" t="s">
        <v>92</v>
      </c>
      <c r="B4" s="28"/>
      <c r="C4" s="28"/>
    </row>
    <row r="5" spans="1:3" x14ac:dyDescent="0.25">
      <c r="A5" s="29" t="s">
        <v>18</v>
      </c>
      <c r="B5" s="28">
        <v>19495.34087878725</v>
      </c>
      <c r="C5" s="28">
        <v>0.59</v>
      </c>
    </row>
    <row r="6" spans="1:3" x14ac:dyDescent="0.25">
      <c r="A6" s="29" t="s">
        <v>33</v>
      </c>
      <c r="B6" s="28">
        <v>7680.7997038154426</v>
      </c>
      <c r="C6" s="28">
        <v>0.2</v>
      </c>
    </row>
    <row r="7" spans="1:3" x14ac:dyDescent="0.25">
      <c r="A7" s="27" t="s">
        <v>90</v>
      </c>
      <c r="B7" s="28"/>
      <c r="C7" s="28"/>
    </row>
    <row r="8" spans="1:3" x14ac:dyDescent="0.25">
      <c r="A8" s="29" t="s">
        <v>18</v>
      </c>
      <c r="B8" s="28"/>
      <c r="C8" s="28">
        <v>0.13</v>
      </c>
    </row>
    <row r="9" spans="1:3" x14ac:dyDescent="0.25">
      <c r="A9" s="29" t="s">
        <v>33</v>
      </c>
      <c r="B9" s="28">
        <v>19946.114204991081</v>
      </c>
      <c r="C9" s="28">
        <v>0.5</v>
      </c>
    </row>
    <row r="10" spans="1:3" x14ac:dyDescent="0.25">
      <c r="A10" s="27" t="s">
        <v>91</v>
      </c>
      <c r="B10" s="28"/>
      <c r="C10" s="28"/>
    </row>
    <row r="11" spans="1:3" x14ac:dyDescent="0.25">
      <c r="A11" s="29" t="s">
        <v>18</v>
      </c>
      <c r="B11" s="28">
        <v>10269.209911115529</v>
      </c>
      <c r="C11" s="28">
        <v>0.28000000000000003</v>
      </c>
    </row>
    <row r="12" spans="1:3" x14ac:dyDescent="0.25">
      <c r="A12" s="29" t="s">
        <v>33</v>
      </c>
      <c r="B12" s="28">
        <v>19769.380600280034</v>
      </c>
      <c r="C12" s="28">
        <v>0.69</v>
      </c>
    </row>
    <row r="13" spans="1:3" x14ac:dyDescent="0.25">
      <c r="A13" s="27" t="s">
        <v>93</v>
      </c>
      <c r="B13" s="28"/>
      <c r="C13" s="28"/>
    </row>
    <row r="14" spans="1:3" x14ac:dyDescent="0.25">
      <c r="A14" s="29" t="s">
        <v>18</v>
      </c>
      <c r="B14" s="28">
        <v>17935.131268330395</v>
      </c>
      <c r="C14" s="28">
        <v>0.73</v>
      </c>
    </row>
    <row r="15" spans="1:3" x14ac:dyDescent="0.25">
      <c r="A15" s="29" t="s">
        <v>33</v>
      </c>
      <c r="B15" s="28">
        <v>17193.635706863992</v>
      </c>
      <c r="C15" s="28">
        <v>0.32</v>
      </c>
    </row>
    <row r="16" spans="1:3" x14ac:dyDescent="0.25">
      <c r="A16" s="27" t="s">
        <v>157</v>
      </c>
      <c r="B16" s="28">
        <v>112289.6122741837</v>
      </c>
      <c r="C16" s="28">
        <v>3.44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E211-E9E1-4B8E-8CF3-64B484B1D023}">
  <dimension ref="A1:BA162"/>
  <sheetViews>
    <sheetView zoomScale="70" zoomScaleNormal="70" workbookViewId="0">
      <selection sqref="A1:Q42"/>
    </sheetView>
  </sheetViews>
  <sheetFormatPr defaultRowHeight="15" x14ac:dyDescent="0.25"/>
  <cols>
    <col min="1" max="1" width="17" bestFit="1" customWidth="1"/>
    <col min="2" max="2" width="14.85546875" style="9" bestFit="1" customWidth="1"/>
    <col min="3" max="3" width="12.5703125" style="9" bestFit="1" customWidth="1"/>
    <col min="4" max="4" width="23.5703125" bestFit="1" customWidth="1"/>
    <col min="5" max="5" width="11.28515625" style="9" bestFit="1" customWidth="1"/>
    <col min="6" max="6" width="8.140625" bestFit="1" customWidth="1"/>
    <col min="7" max="7" width="17.85546875" bestFit="1" customWidth="1"/>
    <col min="8" max="8" width="21.7109375" bestFit="1" customWidth="1"/>
    <col min="9" max="9" width="20.7109375" bestFit="1" customWidth="1"/>
    <col min="10" max="10" width="14.42578125" bestFit="1" customWidth="1"/>
    <col min="11" max="11" width="13.5703125" style="9" bestFit="1" customWidth="1"/>
    <col min="12" max="12" width="12.140625" bestFit="1" customWidth="1"/>
    <col min="13" max="13" width="15" bestFit="1" customWidth="1"/>
    <col min="14" max="14" width="27.42578125" style="9" bestFit="1" customWidth="1"/>
    <col min="15" max="15" width="15.85546875" style="9" bestFit="1" customWidth="1"/>
    <col min="16" max="17" width="11.140625" style="9" bestFit="1" customWidth="1"/>
    <col min="18" max="18" width="21" bestFit="1" customWidth="1"/>
    <col min="19" max="19" width="15" style="9" bestFit="1" customWidth="1"/>
    <col min="20" max="20" width="11.140625" bestFit="1" customWidth="1"/>
    <col min="21" max="21" width="20.140625" bestFit="1" customWidth="1"/>
    <col min="22" max="22" width="15" bestFit="1" customWidth="1"/>
    <col min="23" max="47" width="21.7109375" bestFit="1" customWidth="1"/>
    <col min="48" max="48" width="15" bestFit="1" customWidth="1"/>
  </cols>
  <sheetData>
    <row r="1" spans="1:41" ht="18.75" x14ac:dyDescent="0.3">
      <c r="A1" s="3" t="s">
        <v>1</v>
      </c>
      <c r="B1" s="7" t="s">
        <v>2</v>
      </c>
      <c r="C1" s="7" t="s">
        <v>3</v>
      </c>
      <c r="D1" s="7" t="s">
        <v>4</v>
      </c>
      <c r="E1" s="7" t="s">
        <v>5</v>
      </c>
      <c r="F1" s="7" t="s">
        <v>6</v>
      </c>
      <c r="G1" s="7" t="s">
        <v>7</v>
      </c>
      <c r="H1" s="3" t="s">
        <v>8</v>
      </c>
      <c r="I1" s="3" t="s">
        <v>9</v>
      </c>
      <c r="J1" s="3" t="s">
        <v>10</v>
      </c>
      <c r="K1" s="7" t="s">
        <v>11</v>
      </c>
      <c r="L1" s="3" t="s">
        <v>12</v>
      </c>
      <c r="M1" s="3" t="s">
        <v>13</v>
      </c>
      <c r="N1" s="7" t="s">
        <v>14</v>
      </c>
      <c r="O1" s="15" t="s">
        <v>87</v>
      </c>
      <c r="P1" s="10" t="s">
        <v>88</v>
      </c>
      <c r="Q1" s="10" t="s">
        <v>89</v>
      </c>
    </row>
    <row r="2" spans="1:41" x14ac:dyDescent="0.25">
      <c r="A2" s="1">
        <v>1</v>
      </c>
      <c r="B2" s="8">
        <v>8270</v>
      </c>
      <c r="C2" s="8">
        <v>295</v>
      </c>
      <c r="D2" s="8" t="s">
        <v>15</v>
      </c>
      <c r="E2" s="8">
        <v>1</v>
      </c>
      <c r="F2" s="8">
        <v>801.66</v>
      </c>
      <c r="G2" s="8">
        <v>0.13</v>
      </c>
      <c r="H2" s="2">
        <v>45282.440972222219</v>
      </c>
      <c r="I2" s="1" t="s">
        <v>16</v>
      </c>
      <c r="J2" s="1" t="s">
        <v>17</v>
      </c>
      <c r="K2" s="8">
        <v>46</v>
      </c>
      <c r="L2" s="1" t="s">
        <v>18</v>
      </c>
      <c r="M2" s="1" t="s">
        <v>19</v>
      </c>
      <c r="N2" s="8">
        <v>83.36</v>
      </c>
      <c r="O2" s="16" t="s">
        <v>90</v>
      </c>
      <c r="P2" s="11">
        <v>5200</v>
      </c>
      <c r="Q2"/>
    </row>
    <row r="3" spans="1:41" x14ac:dyDescent="0.25">
      <c r="A3" s="1">
        <v>2</v>
      </c>
      <c r="B3" s="8">
        <v>1860</v>
      </c>
      <c r="C3" s="8">
        <v>546</v>
      </c>
      <c r="D3" s="8" t="s">
        <v>20</v>
      </c>
      <c r="E3" s="8">
        <v>1</v>
      </c>
      <c r="F3" s="8">
        <v>225.03</v>
      </c>
      <c r="G3" s="8">
        <v>0.06</v>
      </c>
      <c r="H3" s="2">
        <v>45417.444444444445</v>
      </c>
      <c r="I3" s="1" t="s">
        <v>21</v>
      </c>
      <c r="J3" s="1" t="s">
        <v>22</v>
      </c>
      <c r="K3" s="8">
        <v>59</v>
      </c>
      <c r="L3" s="1" t="s">
        <v>23</v>
      </c>
      <c r="M3" s="1" t="s">
        <v>24</v>
      </c>
      <c r="N3" s="8">
        <v>58.88</v>
      </c>
      <c r="O3" s="16" t="s">
        <v>91</v>
      </c>
      <c r="P3" s="11">
        <v>3400</v>
      </c>
      <c r="Q3" s="9">
        <f>P3</f>
        <v>3400</v>
      </c>
    </row>
    <row r="4" spans="1:41" x14ac:dyDescent="0.25">
      <c r="A4" s="1">
        <v>3</v>
      </c>
      <c r="B4" s="8">
        <v>6390</v>
      </c>
      <c r="C4" s="8">
        <v>430</v>
      </c>
      <c r="D4" s="8" t="s">
        <v>25</v>
      </c>
      <c r="E4" s="8">
        <v>2</v>
      </c>
      <c r="F4" s="8">
        <v>544.99</v>
      </c>
      <c r="G4" s="8">
        <v>0.24</v>
      </c>
      <c r="H4" s="2">
        <v>45264.223611111112</v>
      </c>
      <c r="I4" s="1" t="s">
        <v>21</v>
      </c>
      <c r="J4" s="1" t="s">
        <v>26</v>
      </c>
      <c r="K4" s="8">
        <v>61</v>
      </c>
      <c r="L4" s="1" t="s">
        <v>18</v>
      </c>
      <c r="M4" s="1" t="s">
        <v>24</v>
      </c>
      <c r="N4" s="8">
        <v>53.99</v>
      </c>
      <c r="O4" s="16" t="s">
        <v>92</v>
      </c>
      <c r="P4" s="11">
        <v>6100</v>
      </c>
      <c r="Q4">
        <f t="shared" ref="Q4:Q41" si="0">0.7*P4+0.3*Q3</f>
        <v>5290</v>
      </c>
      <c r="S4" s="9" t="s">
        <v>110</v>
      </c>
    </row>
    <row r="5" spans="1:41" x14ac:dyDescent="0.25">
      <c r="A5" s="1">
        <v>4</v>
      </c>
      <c r="B5" s="8">
        <v>6191</v>
      </c>
      <c r="C5" s="8">
        <v>807</v>
      </c>
      <c r="D5" s="8" t="s">
        <v>20</v>
      </c>
      <c r="E5" s="8">
        <v>2</v>
      </c>
      <c r="F5" s="8">
        <v>157.02000000000001</v>
      </c>
      <c r="G5" s="8">
        <v>0.01</v>
      </c>
      <c r="H5" s="2">
        <v>45293.46597222222</v>
      </c>
      <c r="I5" s="1" t="s">
        <v>27</v>
      </c>
      <c r="J5" s="1" t="s">
        <v>28</v>
      </c>
      <c r="K5" s="8">
        <v>69</v>
      </c>
      <c r="L5" s="1" t="s">
        <v>18</v>
      </c>
      <c r="M5" s="1" t="s">
        <v>29</v>
      </c>
      <c r="N5" s="8">
        <v>11.73</v>
      </c>
      <c r="O5" s="16" t="s">
        <v>93</v>
      </c>
      <c r="P5" s="11">
        <v>2800</v>
      </c>
      <c r="Q5">
        <f t="shared" si="0"/>
        <v>3547</v>
      </c>
      <c r="S5" s="9">
        <v>0.01</v>
      </c>
    </row>
    <row r="6" spans="1:41" x14ac:dyDescent="0.25">
      <c r="A6" s="1">
        <v>5</v>
      </c>
      <c r="B6" s="8">
        <v>6734</v>
      </c>
      <c r="C6" s="8">
        <v>319</v>
      </c>
      <c r="D6" s="8" t="s">
        <v>0</v>
      </c>
      <c r="E6" s="8">
        <v>2</v>
      </c>
      <c r="F6" s="8">
        <v>155.51</v>
      </c>
      <c r="G6" s="8">
        <v>0.14000000000000001</v>
      </c>
      <c r="H6" s="2">
        <v>45461.042361111111</v>
      </c>
      <c r="I6" s="1" t="s">
        <v>21</v>
      </c>
      <c r="J6" s="1" t="s">
        <v>30</v>
      </c>
      <c r="K6" s="8">
        <v>29</v>
      </c>
      <c r="L6" s="1" t="s">
        <v>23</v>
      </c>
      <c r="M6" s="1" t="s">
        <v>24</v>
      </c>
      <c r="N6" s="8">
        <v>34.79</v>
      </c>
      <c r="O6" s="16" t="s">
        <v>90</v>
      </c>
      <c r="P6" s="11">
        <v>7500</v>
      </c>
      <c r="Q6">
        <f t="shared" si="0"/>
        <v>6314.1</v>
      </c>
      <c r="S6" s="9">
        <v>0.05</v>
      </c>
    </row>
    <row r="7" spans="1:41" x14ac:dyDescent="0.25">
      <c r="A7" s="1">
        <v>6</v>
      </c>
      <c r="B7" s="8">
        <v>7265</v>
      </c>
      <c r="C7" s="8">
        <v>282</v>
      </c>
      <c r="D7" s="8" t="s">
        <v>31</v>
      </c>
      <c r="E7" s="8">
        <v>3</v>
      </c>
      <c r="F7" s="8">
        <v>225.65</v>
      </c>
      <c r="G7" s="8">
        <v>0.18</v>
      </c>
      <c r="H7" s="2">
        <v>45357.260416666664</v>
      </c>
      <c r="I7" s="1" t="s">
        <v>27</v>
      </c>
      <c r="J7" s="1" t="s">
        <v>32</v>
      </c>
      <c r="K7" s="8">
        <v>60</v>
      </c>
      <c r="L7" s="1" t="s">
        <v>33</v>
      </c>
      <c r="M7" s="1" t="s">
        <v>24</v>
      </c>
      <c r="N7" s="8">
        <v>25.78</v>
      </c>
      <c r="O7" s="16" t="s">
        <v>91</v>
      </c>
      <c r="P7" s="11">
        <v>4100</v>
      </c>
      <c r="Q7">
        <f t="shared" si="0"/>
        <v>4764.2299999999996</v>
      </c>
      <c r="S7" s="9">
        <v>0.1</v>
      </c>
    </row>
    <row r="8" spans="1:41" x14ac:dyDescent="0.25">
      <c r="A8" s="1">
        <v>7</v>
      </c>
      <c r="B8" s="8">
        <v>1466</v>
      </c>
      <c r="C8" s="8">
        <v>276</v>
      </c>
      <c r="D8" s="8" t="s">
        <v>20</v>
      </c>
      <c r="E8" s="8">
        <v>3</v>
      </c>
      <c r="F8" s="8">
        <v>631.96</v>
      </c>
      <c r="G8" s="8">
        <v>0.09</v>
      </c>
      <c r="H8" s="2">
        <v>45214.5625</v>
      </c>
      <c r="I8" s="1" t="s">
        <v>34</v>
      </c>
      <c r="J8" s="1" t="s">
        <v>35</v>
      </c>
      <c r="K8" s="8">
        <v>69</v>
      </c>
      <c r="L8" s="1" t="s">
        <v>33</v>
      </c>
      <c r="M8" s="1" t="s">
        <v>29</v>
      </c>
      <c r="N8" s="8">
        <v>68.36</v>
      </c>
      <c r="O8" s="16" t="s">
        <v>92</v>
      </c>
      <c r="P8" s="11">
        <v>3200</v>
      </c>
      <c r="Q8">
        <f t="shared" si="0"/>
        <v>3669.2689999999998</v>
      </c>
      <c r="S8" s="9">
        <v>0.15</v>
      </c>
    </row>
    <row r="9" spans="1:41" x14ac:dyDescent="0.25">
      <c r="A9" s="1">
        <v>8</v>
      </c>
      <c r="B9" s="8">
        <v>5426</v>
      </c>
      <c r="C9" s="8">
        <v>574</v>
      </c>
      <c r="D9" s="8" t="s">
        <v>36</v>
      </c>
      <c r="E9" s="8">
        <v>1</v>
      </c>
      <c r="F9" s="8">
        <v>522.87</v>
      </c>
      <c r="G9" s="8">
        <v>0.28999999999999998</v>
      </c>
      <c r="H9" s="2">
        <v>45428.073611111111</v>
      </c>
      <c r="I9" s="1" t="s">
        <v>16</v>
      </c>
      <c r="J9" s="1" t="s">
        <v>37</v>
      </c>
      <c r="K9" s="8">
        <v>45</v>
      </c>
      <c r="L9" s="1" t="s">
        <v>18</v>
      </c>
      <c r="M9" s="1" t="s">
        <v>24</v>
      </c>
      <c r="N9" s="8">
        <v>19.23</v>
      </c>
      <c r="O9" s="16" t="s">
        <v>93</v>
      </c>
      <c r="P9" s="11">
        <v>5600</v>
      </c>
      <c r="Q9">
        <f t="shared" si="0"/>
        <v>5020.7806999999993</v>
      </c>
      <c r="S9" s="9">
        <v>0.2</v>
      </c>
    </row>
    <row r="10" spans="1:41" x14ac:dyDescent="0.25">
      <c r="A10" s="1">
        <v>9</v>
      </c>
      <c r="B10" s="8">
        <v>6578</v>
      </c>
      <c r="C10" s="8">
        <v>948</v>
      </c>
      <c r="D10" s="8" t="s">
        <v>31</v>
      </c>
      <c r="E10" s="8">
        <v>4</v>
      </c>
      <c r="F10" s="8">
        <v>202.66</v>
      </c>
      <c r="G10" s="8">
        <v>0.12</v>
      </c>
      <c r="H10" s="2">
        <v>45508.717361111114</v>
      </c>
      <c r="I10" s="1" t="s">
        <v>16</v>
      </c>
      <c r="J10" s="1" t="s">
        <v>38</v>
      </c>
      <c r="K10" s="8">
        <v>37</v>
      </c>
      <c r="L10" s="1" t="s">
        <v>33</v>
      </c>
      <c r="M10" s="1" t="s">
        <v>29</v>
      </c>
      <c r="N10" s="8">
        <v>28.61</v>
      </c>
      <c r="O10" s="16" t="s">
        <v>90</v>
      </c>
      <c r="P10" s="11">
        <v>4900</v>
      </c>
      <c r="Q10">
        <f t="shared" si="0"/>
        <v>4936.2342099999996</v>
      </c>
      <c r="S10" s="9">
        <v>0.25</v>
      </c>
    </row>
    <row r="11" spans="1:41" x14ac:dyDescent="0.25">
      <c r="A11" s="1">
        <v>10</v>
      </c>
      <c r="B11" s="8">
        <v>9322</v>
      </c>
      <c r="C11" s="8">
        <v>459</v>
      </c>
      <c r="D11" s="8" t="s">
        <v>25</v>
      </c>
      <c r="E11" s="8">
        <v>3</v>
      </c>
      <c r="F11" s="8">
        <v>401.52</v>
      </c>
      <c r="G11" s="8">
        <v>0.23</v>
      </c>
      <c r="H11" s="2">
        <v>45278.776388888888</v>
      </c>
      <c r="I11" s="1" t="s">
        <v>16</v>
      </c>
      <c r="J11" s="1" t="s">
        <v>39</v>
      </c>
      <c r="K11" s="8">
        <v>67</v>
      </c>
      <c r="L11" s="1" t="s">
        <v>18</v>
      </c>
      <c r="M11" s="1" t="s">
        <v>29</v>
      </c>
      <c r="N11" s="8">
        <v>35.18</v>
      </c>
      <c r="O11" s="16" t="s">
        <v>91</v>
      </c>
      <c r="P11" s="11">
        <v>2200</v>
      </c>
      <c r="Q11">
        <f t="shared" si="0"/>
        <v>3020.8702629999998</v>
      </c>
      <c r="S11" s="9">
        <v>0.3</v>
      </c>
      <c r="AK11" t="s">
        <v>140</v>
      </c>
    </row>
    <row r="12" spans="1:41" ht="15.75" thickBot="1" x14ac:dyDescent="0.3">
      <c r="A12" s="1">
        <v>11</v>
      </c>
      <c r="B12" s="8">
        <v>2685</v>
      </c>
      <c r="C12" s="8">
        <v>745</v>
      </c>
      <c r="D12" s="8" t="s">
        <v>15</v>
      </c>
      <c r="E12" s="8">
        <v>3</v>
      </c>
      <c r="F12" s="8">
        <v>346.31</v>
      </c>
      <c r="G12" s="8">
        <v>0.06</v>
      </c>
      <c r="H12" s="2">
        <v>45438.12222222222</v>
      </c>
      <c r="I12" s="1" t="s">
        <v>16</v>
      </c>
      <c r="J12" s="1" t="s">
        <v>40</v>
      </c>
      <c r="K12" s="8">
        <v>36</v>
      </c>
      <c r="L12" s="1" t="s">
        <v>23</v>
      </c>
      <c r="M12" s="1" t="s">
        <v>29</v>
      </c>
      <c r="N12" s="8">
        <v>76.819999999999993</v>
      </c>
      <c r="O12" s="16" t="s">
        <v>92</v>
      </c>
      <c r="P12" s="11">
        <v>6800</v>
      </c>
      <c r="Q12">
        <f t="shared" si="0"/>
        <v>5666.2610789</v>
      </c>
    </row>
    <row r="13" spans="1:41" x14ac:dyDescent="0.25">
      <c r="A13" s="1">
        <v>12</v>
      </c>
      <c r="B13" s="8">
        <v>1769</v>
      </c>
      <c r="C13" s="8">
        <v>564</v>
      </c>
      <c r="D13" s="8" t="s">
        <v>36</v>
      </c>
      <c r="E13" s="8">
        <v>1</v>
      </c>
      <c r="F13" s="8">
        <v>434.15</v>
      </c>
      <c r="G13" s="8">
        <v>0.05</v>
      </c>
      <c r="H13" s="2">
        <v>45195.220833333333</v>
      </c>
      <c r="I13" s="1" t="s">
        <v>27</v>
      </c>
      <c r="J13" s="1" t="s">
        <v>41</v>
      </c>
      <c r="K13" s="8">
        <v>61</v>
      </c>
      <c r="L13" s="1" t="s">
        <v>23</v>
      </c>
      <c r="M13" s="1" t="s">
        <v>24</v>
      </c>
      <c r="N13" s="8">
        <v>26.24</v>
      </c>
      <c r="O13" s="16" t="s">
        <v>93</v>
      </c>
      <c r="P13" s="11">
        <v>3700</v>
      </c>
      <c r="Q13">
        <f t="shared" si="0"/>
        <v>4289.8783236700001</v>
      </c>
      <c r="AK13" s="5" t="s">
        <v>95</v>
      </c>
      <c r="AL13" s="5" t="s">
        <v>86</v>
      </c>
      <c r="AM13" s="5" t="s">
        <v>85</v>
      </c>
      <c r="AN13" s="5" t="s">
        <v>97</v>
      </c>
      <c r="AO13" s="5" t="s">
        <v>98</v>
      </c>
    </row>
    <row r="14" spans="1:41" x14ac:dyDescent="0.25">
      <c r="A14" s="1">
        <v>13</v>
      </c>
      <c r="B14" s="8">
        <v>7949</v>
      </c>
      <c r="C14" s="8">
        <v>334</v>
      </c>
      <c r="D14" s="8" t="s">
        <v>0</v>
      </c>
      <c r="E14" s="8">
        <v>3</v>
      </c>
      <c r="F14" s="8">
        <v>189.87</v>
      </c>
      <c r="G14" s="8">
        <v>0.25</v>
      </c>
      <c r="H14" s="2">
        <v>45273.995138888888</v>
      </c>
      <c r="I14" s="1" t="s">
        <v>34</v>
      </c>
      <c r="J14" s="1" t="s">
        <v>42</v>
      </c>
      <c r="K14" s="8">
        <v>65</v>
      </c>
      <c r="L14" s="1" t="s">
        <v>23</v>
      </c>
      <c r="M14" s="1" t="s">
        <v>29</v>
      </c>
      <c r="N14" s="8">
        <v>39.909999999999997</v>
      </c>
      <c r="O14" s="16" t="s">
        <v>90</v>
      </c>
      <c r="P14" s="11">
        <v>8100</v>
      </c>
      <c r="Q14">
        <f t="shared" si="0"/>
        <v>6956.963497101</v>
      </c>
      <c r="AK14" t="s">
        <v>90</v>
      </c>
      <c r="AL14">
        <v>3</v>
      </c>
      <c r="AM14">
        <v>16900</v>
      </c>
      <c r="AN14">
        <v>5633.333333333333</v>
      </c>
      <c r="AO14">
        <v>1710833.3333333358</v>
      </c>
    </row>
    <row r="15" spans="1:41" x14ac:dyDescent="0.25">
      <c r="A15" s="1">
        <v>14</v>
      </c>
      <c r="B15" s="8">
        <v>3433</v>
      </c>
      <c r="C15" s="8">
        <v>536</v>
      </c>
      <c r="D15" s="8" t="s">
        <v>43</v>
      </c>
      <c r="E15" s="8">
        <v>1</v>
      </c>
      <c r="F15" s="8">
        <v>559.1</v>
      </c>
      <c r="G15" s="8">
        <v>0.15</v>
      </c>
      <c r="H15" s="2">
        <v>45262.322222222225</v>
      </c>
      <c r="I15" s="1" t="s">
        <v>21</v>
      </c>
      <c r="J15" s="1" t="s">
        <v>44</v>
      </c>
      <c r="K15" s="8">
        <v>35</v>
      </c>
      <c r="L15" s="1" t="s">
        <v>33</v>
      </c>
      <c r="M15" s="1" t="s">
        <v>29</v>
      </c>
      <c r="N15" s="8">
        <v>69.39</v>
      </c>
      <c r="O15" s="16" t="s">
        <v>91</v>
      </c>
      <c r="P15" s="11">
        <v>4600</v>
      </c>
      <c r="Q15">
        <f t="shared" si="0"/>
        <v>5307.0890491302998</v>
      </c>
      <c r="AK15" t="s">
        <v>91</v>
      </c>
      <c r="AL15">
        <v>3</v>
      </c>
      <c r="AM15">
        <v>12100</v>
      </c>
      <c r="AN15">
        <v>4033.3333333333335</v>
      </c>
      <c r="AO15">
        <v>663333.33333333209</v>
      </c>
    </row>
    <row r="16" spans="1:41" x14ac:dyDescent="0.25">
      <c r="A16" s="1">
        <v>15</v>
      </c>
      <c r="B16" s="8">
        <v>6311</v>
      </c>
      <c r="C16" s="8">
        <v>239</v>
      </c>
      <c r="D16" s="8" t="s">
        <v>25</v>
      </c>
      <c r="E16" s="8">
        <v>3</v>
      </c>
      <c r="F16" s="8">
        <v>29.01</v>
      </c>
      <c r="G16" s="8">
        <v>0.26</v>
      </c>
      <c r="H16" s="2">
        <v>45352.742361111108</v>
      </c>
      <c r="I16" s="1" t="s">
        <v>16</v>
      </c>
      <c r="J16" s="1" t="s">
        <v>45</v>
      </c>
      <c r="K16" s="8">
        <v>20</v>
      </c>
      <c r="L16" s="1" t="s">
        <v>23</v>
      </c>
      <c r="M16" s="1" t="s">
        <v>24</v>
      </c>
      <c r="N16" s="8">
        <v>10.33</v>
      </c>
      <c r="O16" s="16" t="s">
        <v>92</v>
      </c>
      <c r="P16" s="11">
        <v>2900</v>
      </c>
      <c r="Q16">
        <f t="shared" si="0"/>
        <v>3622.1267147390899</v>
      </c>
      <c r="S16" s="9" t="s">
        <v>110</v>
      </c>
      <c r="AK16" t="s">
        <v>92</v>
      </c>
      <c r="AL16">
        <v>3</v>
      </c>
      <c r="AM16">
        <v>16250</v>
      </c>
      <c r="AN16">
        <v>5416.666666666667</v>
      </c>
      <c r="AO16">
        <v>3635833.3333333358</v>
      </c>
    </row>
    <row r="17" spans="1:43" x14ac:dyDescent="0.25">
      <c r="A17" s="1">
        <v>16</v>
      </c>
      <c r="B17" s="8">
        <v>6051</v>
      </c>
      <c r="C17" s="8">
        <v>587</v>
      </c>
      <c r="D17" s="8" t="s">
        <v>25</v>
      </c>
      <c r="E17" s="8">
        <v>2</v>
      </c>
      <c r="F17" s="8">
        <v>541.5</v>
      </c>
      <c r="G17" s="8">
        <v>0.22</v>
      </c>
      <c r="H17" s="2">
        <v>45516.509027777778</v>
      </c>
      <c r="I17" s="1" t="s">
        <v>27</v>
      </c>
      <c r="J17" s="1" t="s">
        <v>46</v>
      </c>
      <c r="K17" s="8">
        <v>46</v>
      </c>
      <c r="L17" s="1" t="s">
        <v>23</v>
      </c>
      <c r="M17" s="1" t="s">
        <v>29</v>
      </c>
      <c r="N17" s="8">
        <v>41.77</v>
      </c>
      <c r="O17" s="16" t="s">
        <v>93</v>
      </c>
      <c r="P17" s="11">
        <v>6200</v>
      </c>
      <c r="Q17">
        <f t="shared" si="0"/>
        <v>5426.6380144217273</v>
      </c>
      <c r="S17" s="9">
        <v>2000</v>
      </c>
    </row>
    <row r="18" spans="1:43" ht="30" x14ac:dyDescent="0.25">
      <c r="A18" s="1">
        <v>17</v>
      </c>
      <c r="B18" s="8">
        <v>7420</v>
      </c>
      <c r="C18" s="8">
        <v>868</v>
      </c>
      <c r="D18" s="8" t="s">
        <v>20</v>
      </c>
      <c r="E18" s="8">
        <v>4</v>
      </c>
      <c r="F18" s="8">
        <v>218.68</v>
      </c>
      <c r="G18" s="8">
        <v>0.19</v>
      </c>
      <c r="H18" s="2">
        <v>45497.367361111108</v>
      </c>
      <c r="I18" s="1" t="s">
        <v>34</v>
      </c>
      <c r="J18" s="1" t="s">
        <v>47</v>
      </c>
      <c r="K18" s="8">
        <v>21</v>
      </c>
      <c r="L18" s="1" t="s">
        <v>23</v>
      </c>
      <c r="M18" s="1" t="s">
        <v>19</v>
      </c>
      <c r="N18" s="8">
        <v>9.93</v>
      </c>
      <c r="O18" s="16" t="s">
        <v>90</v>
      </c>
      <c r="P18" s="11">
        <v>5300</v>
      </c>
      <c r="Q18">
        <f t="shared" si="0"/>
        <v>5337.991404326518</v>
      </c>
      <c r="S18" s="9">
        <v>3000</v>
      </c>
      <c r="AC18" s="17" t="s">
        <v>87</v>
      </c>
      <c r="AD18" s="17" t="s">
        <v>0</v>
      </c>
      <c r="AE18" s="17" t="s">
        <v>20</v>
      </c>
      <c r="AF18" s="17" t="s">
        <v>36</v>
      </c>
      <c r="AK18" t="s">
        <v>0</v>
      </c>
      <c r="AL18">
        <v>3</v>
      </c>
      <c r="AM18">
        <v>18250</v>
      </c>
      <c r="AN18">
        <v>6083.333333333333</v>
      </c>
      <c r="AO18">
        <v>2130833.3333333358</v>
      </c>
    </row>
    <row r="19" spans="1:43" x14ac:dyDescent="0.25">
      <c r="A19" s="1">
        <v>18</v>
      </c>
      <c r="B19" s="8">
        <v>2184</v>
      </c>
      <c r="C19" s="8">
        <v>384</v>
      </c>
      <c r="D19" s="8" t="s">
        <v>15</v>
      </c>
      <c r="E19" s="8">
        <v>2</v>
      </c>
      <c r="F19" s="8">
        <v>439.07</v>
      </c>
      <c r="G19" s="8">
        <v>0.26</v>
      </c>
      <c r="H19" s="2">
        <v>45457.752083333333</v>
      </c>
      <c r="I19" s="1" t="s">
        <v>48</v>
      </c>
      <c r="J19" s="1" t="s">
        <v>49</v>
      </c>
      <c r="K19" s="8">
        <v>23</v>
      </c>
      <c r="L19" s="1" t="s">
        <v>23</v>
      </c>
      <c r="M19" s="1" t="s">
        <v>19</v>
      </c>
      <c r="N19" s="8">
        <v>97.73</v>
      </c>
      <c r="O19" s="16" t="s">
        <v>91</v>
      </c>
      <c r="P19" s="11">
        <v>3100</v>
      </c>
      <c r="Q19">
        <f t="shared" si="0"/>
        <v>3771.3974212979556</v>
      </c>
      <c r="S19" s="9">
        <v>4000</v>
      </c>
      <c r="AC19" s="18" t="s">
        <v>90</v>
      </c>
      <c r="AD19" s="18">
        <v>6850</v>
      </c>
      <c r="AE19" s="18">
        <v>4250</v>
      </c>
      <c r="AF19" s="18">
        <v>5800</v>
      </c>
      <c r="AK19" t="s">
        <v>20</v>
      </c>
      <c r="AL19">
        <v>3</v>
      </c>
      <c r="AM19">
        <v>13300</v>
      </c>
      <c r="AN19">
        <v>4433.333333333333</v>
      </c>
      <c r="AO19">
        <v>2055833.3333333321</v>
      </c>
    </row>
    <row r="20" spans="1:43" ht="15.75" thickBot="1" x14ac:dyDescent="0.3">
      <c r="A20" s="1">
        <v>19</v>
      </c>
      <c r="B20" s="8">
        <v>5555</v>
      </c>
      <c r="C20" s="8">
        <v>701</v>
      </c>
      <c r="D20" s="8" t="s">
        <v>31</v>
      </c>
      <c r="E20" s="8">
        <v>4</v>
      </c>
      <c r="F20" s="8">
        <v>849.82</v>
      </c>
      <c r="G20" s="8">
        <v>0.12</v>
      </c>
      <c r="H20" s="2">
        <v>45353.220833333333</v>
      </c>
      <c r="I20" s="1" t="s">
        <v>16</v>
      </c>
      <c r="J20" s="1" t="s">
        <v>50</v>
      </c>
      <c r="K20" s="8">
        <v>52</v>
      </c>
      <c r="L20" s="1" t="s">
        <v>18</v>
      </c>
      <c r="M20" s="1" t="s">
        <v>29</v>
      </c>
      <c r="N20" s="8">
        <v>54.32</v>
      </c>
      <c r="O20" s="16" t="s">
        <v>92</v>
      </c>
      <c r="P20" s="11">
        <v>7200</v>
      </c>
      <c r="Q20">
        <f t="shared" si="0"/>
        <v>6171.4192263893865</v>
      </c>
      <c r="S20" s="9">
        <v>5000</v>
      </c>
      <c r="AC20" s="18" t="s">
        <v>91</v>
      </c>
      <c r="AD20" s="18">
        <v>4400</v>
      </c>
      <c r="AE20" s="18">
        <v>3100</v>
      </c>
      <c r="AF20" s="18">
        <v>4600</v>
      </c>
      <c r="AK20" s="4" t="s">
        <v>36</v>
      </c>
      <c r="AL20" s="4">
        <v>3</v>
      </c>
      <c r="AM20" s="4">
        <v>13700</v>
      </c>
      <c r="AN20" s="4">
        <v>4566.666666666667</v>
      </c>
      <c r="AO20" s="4">
        <v>1563333.3333333321</v>
      </c>
    </row>
    <row r="21" spans="1:43" x14ac:dyDescent="0.25">
      <c r="A21" s="1">
        <v>20</v>
      </c>
      <c r="B21" s="8">
        <v>4385</v>
      </c>
      <c r="C21" s="8">
        <v>427</v>
      </c>
      <c r="D21" s="8" t="s">
        <v>0</v>
      </c>
      <c r="E21" s="8">
        <v>1</v>
      </c>
      <c r="F21" s="8">
        <v>886.69</v>
      </c>
      <c r="G21" s="8">
        <v>0.28000000000000003</v>
      </c>
      <c r="H21" s="2">
        <v>45431.556944444441</v>
      </c>
      <c r="I21" s="1" t="s">
        <v>21</v>
      </c>
      <c r="J21" s="1" t="s">
        <v>51</v>
      </c>
      <c r="K21" s="8">
        <v>46</v>
      </c>
      <c r="L21" s="1" t="s">
        <v>23</v>
      </c>
      <c r="M21" s="1" t="s">
        <v>29</v>
      </c>
      <c r="N21" s="8">
        <v>57.35</v>
      </c>
      <c r="O21" s="16" t="s">
        <v>93</v>
      </c>
      <c r="P21" s="11">
        <v>4300</v>
      </c>
      <c r="Q21">
        <f t="shared" si="0"/>
        <v>4861.4257679168159</v>
      </c>
      <c r="S21" s="9">
        <v>6000</v>
      </c>
      <c r="AC21" s="18" t="s">
        <v>92</v>
      </c>
      <c r="AD21" s="18">
        <v>7000</v>
      </c>
      <c r="AE21" s="18">
        <v>5950</v>
      </c>
      <c r="AF21" s="18">
        <v>3300</v>
      </c>
    </row>
    <row r="22" spans="1:43" x14ac:dyDescent="0.25">
      <c r="A22" s="1">
        <v>21</v>
      </c>
      <c r="B22" s="8">
        <v>7396</v>
      </c>
      <c r="C22" s="8">
        <v>150</v>
      </c>
      <c r="D22" s="8" t="s">
        <v>25</v>
      </c>
      <c r="E22" s="8">
        <v>2</v>
      </c>
      <c r="F22" s="8">
        <v>137.79</v>
      </c>
      <c r="G22" s="8">
        <v>0.04</v>
      </c>
      <c r="H22" s="2">
        <v>45425.419444444444</v>
      </c>
      <c r="I22" s="1" t="s">
        <v>34</v>
      </c>
      <c r="J22" s="1" t="s">
        <v>52</v>
      </c>
      <c r="K22" s="8">
        <v>60</v>
      </c>
      <c r="L22" s="1" t="s">
        <v>33</v>
      </c>
      <c r="M22" s="1" t="s">
        <v>19</v>
      </c>
      <c r="N22" s="8">
        <v>41.08</v>
      </c>
      <c r="O22" s="16" t="s">
        <v>90</v>
      </c>
      <c r="P22" s="11">
        <v>6700</v>
      </c>
      <c r="Q22">
        <f t="shared" si="0"/>
        <v>6148.427730375045</v>
      </c>
      <c r="S22" s="9">
        <v>7000</v>
      </c>
    </row>
    <row r="23" spans="1:43" ht="15.75" thickBot="1" x14ac:dyDescent="0.3">
      <c r="A23" s="1">
        <v>22</v>
      </c>
      <c r="B23" s="8">
        <v>9666</v>
      </c>
      <c r="C23" s="8">
        <v>797</v>
      </c>
      <c r="D23" s="8" t="s">
        <v>0</v>
      </c>
      <c r="E23" s="8">
        <v>4</v>
      </c>
      <c r="F23" s="8">
        <v>6.58</v>
      </c>
      <c r="G23" s="8">
        <v>0.04</v>
      </c>
      <c r="H23" s="2">
        <v>45387.868055555555</v>
      </c>
      <c r="I23" s="1" t="s">
        <v>48</v>
      </c>
      <c r="J23" s="1" t="s">
        <v>53</v>
      </c>
      <c r="K23" s="8">
        <v>54</v>
      </c>
      <c r="L23" s="1" t="s">
        <v>18</v>
      </c>
      <c r="M23" s="1" t="s">
        <v>19</v>
      </c>
      <c r="N23" s="8">
        <v>88.02</v>
      </c>
      <c r="O23" s="16" t="s">
        <v>91</v>
      </c>
      <c r="P23" s="11">
        <v>2500</v>
      </c>
      <c r="Q23">
        <f t="shared" si="0"/>
        <v>3594.5283191125136</v>
      </c>
      <c r="AK23" t="s">
        <v>99</v>
      </c>
    </row>
    <row r="24" spans="1:43" x14ac:dyDescent="0.25">
      <c r="A24" s="1">
        <v>23</v>
      </c>
      <c r="B24" s="8">
        <v>3558</v>
      </c>
      <c r="C24" s="8">
        <v>577</v>
      </c>
      <c r="D24" s="8" t="s">
        <v>25</v>
      </c>
      <c r="E24" s="8">
        <v>3</v>
      </c>
      <c r="F24" s="8">
        <v>888.2</v>
      </c>
      <c r="G24" s="8">
        <v>0.04</v>
      </c>
      <c r="H24" s="2">
        <v>45247.229166666664</v>
      </c>
      <c r="I24" s="1" t="s">
        <v>16</v>
      </c>
      <c r="J24" s="1" t="s">
        <v>54</v>
      </c>
      <c r="K24" s="8">
        <v>29</v>
      </c>
      <c r="L24" s="1" t="s">
        <v>23</v>
      </c>
      <c r="M24" s="1" t="s">
        <v>19</v>
      </c>
      <c r="N24" s="8">
        <v>67.510000000000005</v>
      </c>
      <c r="O24" s="16" t="s">
        <v>92</v>
      </c>
      <c r="P24" s="11">
        <v>5800</v>
      </c>
      <c r="Q24">
        <f t="shared" si="0"/>
        <v>5138.3584957337534</v>
      </c>
      <c r="AK24" s="5" t="s">
        <v>100</v>
      </c>
      <c r="AL24" s="5" t="s">
        <v>101</v>
      </c>
      <c r="AM24" s="5" t="s">
        <v>102</v>
      </c>
      <c r="AN24" s="5" t="s">
        <v>103</v>
      </c>
      <c r="AO24" s="5" t="s">
        <v>104</v>
      </c>
      <c r="AP24" s="5" t="s">
        <v>105</v>
      </c>
      <c r="AQ24" s="5" t="s">
        <v>106</v>
      </c>
    </row>
    <row r="25" spans="1:43" x14ac:dyDescent="0.25">
      <c r="A25" s="1">
        <v>24</v>
      </c>
      <c r="B25" s="8">
        <v>8849</v>
      </c>
      <c r="C25" s="8">
        <v>385</v>
      </c>
      <c r="D25" s="8" t="s">
        <v>25</v>
      </c>
      <c r="E25" s="8">
        <v>4</v>
      </c>
      <c r="F25" s="8">
        <v>109.35</v>
      </c>
      <c r="G25" s="8">
        <v>0.15</v>
      </c>
      <c r="H25" s="2">
        <v>45509.588194444441</v>
      </c>
      <c r="I25" s="1" t="s">
        <v>21</v>
      </c>
      <c r="J25" s="1" t="s">
        <v>55</v>
      </c>
      <c r="K25" s="8">
        <v>45</v>
      </c>
      <c r="L25" s="1" t="s">
        <v>18</v>
      </c>
      <c r="M25" s="1" t="s">
        <v>24</v>
      </c>
      <c r="N25" s="8">
        <v>18.760000000000002</v>
      </c>
      <c r="O25" s="16" t="s">
        <v>93</v>
      </c>
      <c r="P25" s="11">
        <v>3900</v>
      </c>
      <c r="Q25">
        <f t="shared" si="0"/>
        <v>4271.5075487201257</v>
      </c>
      <c r="AK25" t="s">
        <v>141</v>
      </c>
      <c r="AL25">
        <v>4520555.5555555541</v>
      </c>
      <c r="AM25">
        <v>2</v>
      </c>
      <c r="AN25">
        <v>2260277.7777777771</v>
      </c>
      <c r="AO25">
        <v>1.2953912282098219</v>
      </c>
      <c r="AP25">
        <v>0.36833757847324344</v>
      </c>
      <c r="AQ25">
        <v>6.9442719099991574</v>
      </c>
    </row>
    <row r="26" spans="1:43" x14ac:dyDescent="0.25">
      <c r="A26" s="1">
        <v>25</v>
      </c>
      <c r="B26" s="8">
        <v>3047</v>
      </c>
      <c r="C26" s="8">
        <v>419</v>
      </c>
      <c r="D26" s="8" t="s">
        <v>0</v>
      </c>
      <c r="E26" s="8">
        <v>4</v>
      </c>
      <c r="F26" s="8">
        <v>144.08000000000001</v>
      </c>
      <c r="G26" s="8">
        <v>0.28000000000000003</v>
      </c>
      <c r="H26" s="2">
        <v>45346.051388888889</v>
      </c>
      <c r="I26" s="1" t="s">
        <v>16</v>
      </c>
      <c r="J26" s="1" t="s">
        <v>56</v>
      </c>
      <c r="K26" s="8">
        <v>38</v>
      </c>
      <c r="L26" s="1" t="s">
        <v>33</v>
      </c>
      <c r="M26" s="1" t="s">
        <v>24</v>
      </c>
      <c r="N26" s="8">
        <v>33.4</v>
      </c>
      <c r="O26" s="16" t="s">
        <v>90</v>
      </c>
      <c r="P26" s="11">
        <v>8400</v>
      </c>
      <c r="Q26">
        <f t="shared" si="0"/>
        <v>7161.4522646160376</v>
      </c>
      <c r="AK26" t="s">
        <v>142</v>
      </c>
      <c r="AL26">
        <v>5040555.5555555541</v>
      </c>
      <c r="AM26">
        <v>2</v>
      </c>
      <c r="AN26">
        <v>2520277.7777777771</v>
      </c>
      <c r="AO26">
        <v>1.4444002228767008</v>
      </c>
      <c r="AP26">
        <v>0.33715746047966672</v>
      </c>
      <c r="AQ26">
        <v>6.9442719099991574</v>
      </c>
    </row>
    <row r="27" spans="1:43" x14ac:dyDescent="0.25">
      <c r="A27" s="1">
        <v>26</v>
      </c>
      <c r="B27" s="8">
        <v>3747</v>
      </c>
      <c r="C27" s="8">
        <v>733</v>
      </c>
      <c r="D27" s="8" t="s">
        <v>36</v>
      </c>
      <c r="E27" s="8">
        <v>4</v>
      </c>
      <c r="F27" s="8">
        <v>576.59</v>
      </c>
      <c r="G27" s="8">
        <v>0.2</v>
      </c>
      <c r="H27" s="2">
        <v>45355.387499999997</v>
      </c>
      <c r="I27" s="1" t="s">
        <v>27</v>
      </c>
      <c r="J27" s="1" t="s">
        <v>57</v>
      </c>
      <c r="K27" s="8">
        <v>52</v>
      </c>
      <c r="L27" s="1" t="s">
        <v>33</v>
      </c>
      <c r="M27" s="1" t="s">
        <v>29</v>
      </c>
      <c r="N27" s="8">
        <v>21.91</v>
      </c>
      <c r="O27" s="16" t="s">
        <v>91</v>
      </c>
      <c r="P27" s="11">
        <v>4700</v>
      </c>
      <c r="Q27">
        <f t="shared" si="0"/>
        <v>5438.435679384811</v>
      </c>
      <c r="AK27" t="s">
        <v>143</v>
      </c>
      <c r="AL27">
        <v>6979444.4444444459</v>
      </c>
      <c r="AM27">
        <v>4</v>
      </c>
      <c r="AN27">
        <v>1744861.1111111115</v>
      </c>
    </row>
    <row r="28" spans="1:43" x14ac:dyDescent="0.25">
      <c r="A28" s="1">
        <v>27</v>
      </c>
      <c r="B28" s="8">
        <v>1189</v>
      </c>
      <c r="C28" s="8">
        <v>278</v>
      </c>
      <c r="D28" s="8" t="s">
        <v>0</v>
      </c>
      <c r="E28" s="8">
        <v>3</v>
      </c>
      <c r="F28" s="8">
        <v>954.41</v>
      </c>
      <c r="G28" s="8">
        <v>0.11</v>
      </c>
      <c r="H28" s="2">
        <v>45225.3</v>
      </c>
      <c r="I28" s="1" t="s">
        <v>48</v>
      </c>
      <c r="J28" s="1" t="s">
        <v>58</v>
      </c>
      <c r="K28" s="8">
        <v>66</v>
      </c>
      <c r="L28" s="1" t="s">
        <v>33</v>
      </c>
      <c r="M28" s="1" t="s">
        <v>29</v>
      </c>
      <c r="N28" s="8">
        <v>81.489999999999995</v>
      </c>
      <c r="O28" s="16" t="s">
        <v>92</v>
      </c>
      <c r="P28" s="11">
        <v>3400</v>
      </c>
      <c r="Q28">
        <f t="shared" si="0"/>
        <v>4011.5307038154433</v>
      </c>
    </row>
    <row r="29" spans="1:43" ht="15.75" thickBot="1" x14ac:dyDescent="0.3">
      <c r="A29" s="1">
        <v>28</v>
      </c>
      <c r="B29" s="8">
        <v>3734</v>
      </c>
      <c r="C29" s="8">
        <v>231</v>
      </c>
      <c r="D29" s="8" t="s">
        <v>43</v>
      </c>
      <c r="E29" s="8">
        <v>3</v>
      </c>
      <c r="F29" s="8">
        <v>513.82000000000005</v>
      </c>
      <c r="G29" s="8">
        <v>0.05</v>
      </c>
      <c r="H29" s="2">
        <v>45508.527083333334</v>
      </c>
      <c r="I29" s="1" t="s">
        <v>34</v>
      </c>
      <c r="J29" s="1" t="s">
        <v>59</v>
      </c>
      <c r="K29" s="8">
        <v>34</v>
      </c>
      <c r="L29" s="1" t="s">
        <v>33</v>
      </c>
      <c r="M29" s="1" t="s">
        <v>29</v>
      </c>
      <c r="N29" s="8">
        <v>77.27</v>
      </c>
      <c r="O29" s="16" t="s">
        <v>93</v>
      </c>
      <c r="P29" s="11">
        <v>6500</v>
      </c>
      <c r="Q29">
        <f t="shared" si="0"/>
        <v>5753.4592111446327</v>
      </c>
      <c r="AK29" s="4" t="s">
        <v>109</v>
      </c>
      <c r="AL29" s="4">
        <v>16540555.555555554</v>
      </c>
      <c r="AM29" s="4">
        <v>8</v>
      </c>
      <c r="AN29" s="4"/>
      <c r="AO29" s="4"/>
      <c r="AP29" s="4"/>
      <c r="AQ29" s="4"/>
    </row>
    <row r="30" spans="1:43" x14ac:dyDescent="0.25">
      <c r="A30" s="1">
        <v>29</v>
      </c>
      <c r="B30" s="8">
        <v>4005</v>
      </c>
      <c r="C30" s="8">
        <v>699</v>
      </c>
      <c r="D30" s="8" t="s">
        <v>36</v>
      </c>
      <c r="E30" s="8">
        <v>1</v>
      </c>
      <c r="F30" s="8">
        <v>767.89</v>
      </c>
      <c r="G30" s="8">
        <v>0.11</v>
      </c>
      <c r="H30" s="2">
        <v>45418.068749999999</v>
      </c>
      <c r="I30" s="1" t="s">
        <v>34</v>
      </c>
      <c r="J30" s="1" t="s">
        <v>60</v>
      </c>
      <c r="K30" s="8">
        <v>52</v>
      </c>
      <c r="L30" s="1" t="s">
        <v>23</v>
      </c>
      <c r="M30" s="1" t="s">
        <v>24</v>
      </c>
      <c r="N30" s="8">
        <v>26.78</v>
      </c>
      <c r="O30" s="16" t="s">
        <v>90</v>
      </c>
      <c r="P30" s="11">
        <v>5600</v>
      </c>
      <c r="Q30">
        <f t="shared" si="0"/>
        <v>5646.0377633433891</v>
      </c>
    </row>
    <row r="31" spans="1:43" x14ac:dyDescent="0.25">
      <c r="A31" s="1">
        <v>30</v>
      </c>
      <c r="B31" s="8">
        <v>5658</v>
      </c>
      <c r="C31" s="8">
        <v>829</v>
      </c>
      <c r="D31" s="8" t="s">
        <v>20</v>
      </c>
      <c r="E31" s="8">
        <v>4</v>
      </c>
      <c r="F31" s="8">
        <v>653.79</v>
      </c>
      <c r="G31" s="8">
        <v>0.01</v>
      </c>
      <c r="H31" s="2">
        <v>45222.481944444444</v>
      </c>
      <c r="I31" s="1" t="s">
        <v>16</v>
      </c>
      <c r="J31" s="1" t="s">
        <v>61</v>
      </c>
      <c r="K31" s="8">
        <v>68</v>
      </c>
      <c r="L31" s="1" t="s">
        <v>18</v>
      </c>
      <c r="M31" s="1" t="s">
        <v>29</v>
      </c>
      <c r="N31" s="8">
        <v>39.340000000000003</v>
      </c>
      <c r="O31" s="16" t="s">
        <v>91</v>
      </c>
      <c r="P31" s="11">
        <v>2800</v>
      </c>
      <c r="Q31">
        <f t="shared" si="0"/>
        <v>3653.8113290030165</v>
      </c>
    </row>
    <row r="32" spans="1:43" x14ac:dyDescent="0.25">
      <c r="A32" s="1">
        <v>31</v>
      </c>
      <c r="B32" s="8">
        <v>2899</v>
      </c>
      <c r="C32" s="8">
        <v>299</v>
      </c>
      <c r="D32" s="8" t="s">
        <v>43</v>
      </c>
      <c r="E32" s="8">
        <v>1</v>
      </c>
      <c r="F32" s="8">
        <v>361.67</v>
      </c>
      <c r="G32" s="8">
        <v>0.06</v>
      </c>
      <c r="H32" s="2">
        <v>45301.112500000003</v>
      </c>
      <c r="I32" s="1" t="s">
        <v>34</v>
      </c>
      <c r="J32" s="1" t="s">
        <v>62</v>
      </c>
      <c r="K32" s="8">
        <v>23</v>
      </c>
      <c r="L32" s="1" t="s">
        <v>23</v>
      </c>
      <c r="M32" s="1" t="s">
        <v>29</v>
      </c>
      <c r="N32" s="8">
        <v>91.11</v>
      </c>
      <c r="O32" s="16" t="s">
        <v>92</v>
      </c>
      <c r="P32" s="11">
        <v>7700</v>
      </c>
      <c r="Q32">
        <f t="shared" si="0"/>
        <v>6486.143398700905</v>
      </c>
    </row>
    <row r="33" spans="1:53" x14ac:dyDescent="0.25">
      <c r="A33" s="1">
        <v>32</v>
      </c>
      <c r="B33" s="8">
        <v>8734</v>
      </c>
      <c r="C33" s="8">
        <v>706</v>
      </c>
      <c r="D33" s="8" t="s">
        <v>0</v>
      </c>
      <c r="E33" s="8">
        <v>1</v>
      </c>
      <c r="F33" s="8">
        <v>327.64</v>
      </c>
      <c r="G33" s="8">
        <v>0.28000000000000003</v>
      </c>
      <c r="H33" s="2">
        <v>45422.78125</v>
      </c>
      <c r="I33" s="1" t="s">
        <v>34</v>
      </c>
      <c r="J33" s="1" t="s">
        <v>63</v>
      </c>
      <c r="K33" s="8">
        <v>44</v>
      </c>
      <c r="L33" s="1" t="s">
        <v>18</v>
      </c>
      <c r="M33" s="1" t="s">
        <v>19</v>
      </c>
      <c r="N33" s="8">
        <v>2.78</v>
      </c>
      <c r="O33" s="16" t="s">
        <v>93</v>
      </c>
      <c r="P33" s="11">
        <v>4500</v>
      </c>
      <c r="Q33">
        <f t="shared" si="0"/>
        <v>5095.8430196102709</v>
      </c>
    </row>
    <row r="34" spans="1:53" x14ac:dyDescent="0.25">
      <c r="A34" s="1">
        <v>33</v>
      </c>
      <c r="B34" s="8">
        <v>2267</v>
      </c>
      <c r="C34" s="8">
        <v>693</v>
      </c>
      <c r="D34" s="8" t="s">
        <v>20</v>
      </c>
      <c r="E34" s="8">
        <v>1</v>
      </c>
      <c r="F34" s="8">
        <v>623.45000000000005</v>
      </c>
      <c r="G34" s="8">
        <v>0.13</v>
      </c>
      <c r="H34" s="2">
        <v>45469.131944444445</v>
      </c>
      <c r="I34" s="1" t="s">
        <v>48</v>
      </c>
      <c r="J34" s="1" t="s">
        <v>64</v>
      </c>
      <c r="K34" s="8">
        <v>67</v>
      </c>
      <c r="L34" s="1" t="s">
        <v>23</v>
      </c>
      <c r="M34" s="1" t="s">
        <v>24</v>
      </c>
      <c r="N34" s="8">
        <v>65.39</v>
      </c>
      <c r="O34" s="16" t="s">
        <v>90</v>
      </c>
      <c r="P34" s="11">
        <v>6100</v>
      </c>
      <c r="Q34">
        <f t="shared" si="0"/>
        <v>5798.7529058830814</v>
      </c>
    </row>
    <row r="35" spans="1:53" x14ac:dyDescent="0.25">
      <c r="A35" s="1">
        <v>34</v>
      </c>
      <c r="B35" s="8">
        <v>2528</v>
      </c>
      <c r="C35" s="8">
        <v>544</v>
      </c>
      <c r="D35" s="8" t="s">
        <v>0</v>
      </c>
      <c r="E35" s="8">
        <v>3</v>
      </c>
      <c r="F35" s="8">
        <v>316.88</v>
      </c>
      <c r="G35" s="8">
        <v>0.16</v>
      </c>
      <c r="H35" s="2">
        <v>45185.723611111112</v>
      </c>
      <c r="I35" s="1" t="s">
        <v>27</v>
      </c>
      <c r="J35" s="1" t="s">
        <v>65</v>
      </c>
      <c r="K35" s="8">
        <v>40</v>
      </c>
      <c r="L35" s="1" t="s">
        <v>33</v>
      </c>
      <c r="M35" s="1" t="s">
        <v>24</v>
      </c>
      <c r="N35" s="8">
        <v>22.59</v>
      </c>
      <c r="O35" s="16" t="s">
        <v>91</v>
      </c>
      <c r="P35" s="11">
        <v>3600</v>
      </c>
      <c r="Q35">
        <f t="shared" si="0"/>
        <v>4259.6258717649243</v>
      </c>
    </row>
    <row r="36" spans="1:53" x14ac:dyDescent="0.25">
      <c r="A36" s="1">
        <v>35</v>
      </c>
      <c r="B36" s="8">
        <v>4556</v>
      </c>
      <c r="C36" s="8">
        <v>773</v>
      </c>
      <c r="D36" s="8" t="s">
        <v>31</v>
      </c>
      <c r="E36" s="8">
        <v>1</v>
      </c>
      <c r="F36" s="8">
        <v>560.67999999999995</v>
      </c>
      <c r="G36" s="8">
        <v>0.22</v>
      </c>
      <c r="H36" s="2">
        <v>45248.75277777778</v>
      </c>
      <c r="I36" s="1" t="s">
        <v>27</v>
      </c>
      <c r="J36" s="1" t="s">
        <v>66</v>
      </c>
      <c r="K36" s="8">
        <v>32</v>
      </c>
      <c r="L36" s="1" t="s">
        <v>18</v>
      </c>
      <c r="M36" s="1" t="s">
        <v>24</v>
      </c>
      <c r="N36" s="8">
        <v>50.36</v>
      </c>
      <c r="O36" s="16" t="s">
        <v>92</v>
      </c>
      <c r="P36" s="11">
        <v>4900</v>
      </c>
      <c r="Q36">
        <f t="shared" si="0"/>
        <v>4707.8877615294768</v>
      </c>
    </row>
    <row r="37" spans="1:53" x14ac:dyDescent="0.25">
      <c r="A37" s="1">
        <v>36</v>
      </c>
      <c r="B37" s="8">
        <v>4890</v>
      </c>
      <c r="C37" s="8">
        <v>414</v>
      </c>
      <c r="D37" s="8" t="s">
        <v>36</v>
      </c>
      <c r="E37" s="8">
        <v>3</v>
      </c>
      <c r="F37" s="8">
        <v>423.86</v>
      </c>
      <c r="G37" s="8">
        <v>0.26</v>
      </c>
      <c r="H37" s="2">
        <v>45305.052777777775</v>
      </c>
      <c r="I37" s="1" t="s">
        <v>16</v>
      </c>
      <c r="J37" s="1" t="s">
        <v>67</v>
      </c>
      <c r="K37" s="8">
        <v>67</v>
      </c>
      <c r="L37" s="1" t="s">
        <v>33</v>
      </c>
      <c r="M37" s="1" t="s">
        <v>29</v>
      </c>
      <c r="N37" s="8">
        <v>16.57</v>
      </c>
      <c r="O37" s="16" t="s">
        <v>93</v>
      </c>
      <c r="P37" s="11">
        <v>7000</v>
      </c>
      <c r="Q37">
        <f t="shared" si="0"/>
        <v>6312.3663284588429</v>
      </c>
      <c r="AX37" s="17"/>
      <c r="AY37" s="17" t="s">
        <v>158</v>
      </c>
      <c r="AZ37" s="17" t="s">
        <v>159</v>
      </c>
      <c r="BA37" s="17" t="s">
        <v>160</v>
      </c>
    </row>
    <row r="38" spans="1:53" s="9" customFormat="1" x14ac:dyDescent="0.25">
      <c r="A38" s="8">
        <v>37</v>
      </c>
      <c r="B38" s="8">
        <v>9838</v>
      </c>
      <c r="C38" s="8">
        <v>900</v>
      </c>
      <c r="D38" s="8" t="s">
        <v>20</v>
      </c>
      <c r="E38" s="8">
        <v>1</v>
      </c>
      <c r="F38" s="8">
        <v>629.44000000000005</v>
      </c>
      <c r="G38" s="8">
        <v>0.23</v>
      </c>
      <c r="H38" s="8">
        <v>45242.0625</v>
      </c>
      <c r="I38" s="8" t="s">
        <v>21</v>
      </c>
      <c r="J38" s="8" t="s">
        <v>68</v>
      </c>
      <c r="K38" s="8">
        <v>42</v>
      </c>
      <c r="L38" s="8" t="s">
        <v>23</v>
      </c>
      <c r="M38" s="8" t="s">
        <v>24</v>
      </c>
      <c r="N38" s="8">
        <v>97.39</v>
      </c>
      <c r="O38" s="16" t="s">
        <v>90</v>
      </c>
      <c r="P38" s="11">
        <v>3200</v>
      </c>
      <c r="Q38" s="9">
        <f t="shared" si="0"/>
        <v>4133.7098985376524</v>
      </c>
      <c r="AH38" s="19" t="s">
        <v>87</v>
      </c>
      <c r="AI38" s="19" t="s">
        <v>0</v>
      </c>
      <c r="AJ38" s="19" t="s">
        <v>154</v>
      </c>
      <c r="AK38" s="19" t="s">
        <v>20</v>
      </c>
      <c r="AL38" s="19" t="s">
        <v>155</v>
      </c>
      <c r="AO38" t="s">
        <v>146</v>
      </c>
      <c r="AP38"/>
      <c r="AQ38"/>
      <c r="AR38"/>
      <c r="AS38"/>
      <c r="AT38"/>
      <c r="AU38"/>
      <c r="AX38" s="18" t="s">
        <v>161</v>
      </c>
      <c r="AY38" s="18">
        <v>78</v>
      </c>
      <c r="AZ38" s="18">
        <v>85</v>
      </c>
      <c r="BA38" s="18">
        <v>90</v>
      </c>
    </row>
    <row r="39" spans="1:53" s="9" customFormat="1" x14ac:dyDescent="0.25">
      <c r="A39" s="8">
        <v>38</v>
      </c>
      <c r="B39" s="8">
        <v>6393</v>
      </c>
      <c r="C39" s="8">
        <v>907</v>
      </c>
      <c r="D39" s="8" t="s">
        <v>31</v>
      </c>
      <c r="E39" s="8">
        <v>1</v>
      </c>
      <c r="F39" s="8">
        <v>330.09</v>
      </c>
      <c r="G39" s="8">
        <v>0.21</v>
      </c>
      <c r="H39" s="8">
        <v>45521.574999999997</v>
      </c>
      <c r="I39" s="8" t="s">
        <v>34</v>
      </c>
      <c r="J39" s="8" t="s">
        <v>69</v>
      </c>
      <c r="K39" s="8">
        <v>37</v>
      </c>
      <c r="L39" s="8" t="s">
        <v>23</v>
      </c>
      <c r="M39" s="8" t="s">
        <v>24</v>
      </c>
      <c r="N39" s="8">
        <v>1.59</v>
      </c>
      <c r="O39" s="16" t="s">
        <v>91</v>
      </c>
      <c r="P39" s="11">
        <v>5400</v>
      </c>
      <c r="Q39" s="9">
        <f t="shared" si="0"/>
        <v>5020.1129695612954</v>
      </c>
      <c r="AH39" s="20" t="s">
        <v>90</v>
      </c>
      <c r="AI39" s="20">
        <v>7500</v>
      </c>
      <c r="AJ39" s="20">
        <v>6200</v>
      </c>
      <c r="AK39" s="20">
        <v>3200</v>
      </c>
      <c r="AL39" s="20">
        <v>5300</v>
      </c>
      <c r="AO39"/>
      <c r="AP39"/>
      <c r="AQ39"/>
      <c r="AR39"/>
      <c r="AS39"/>
      <c r="AT39"/>
      <c r="AU39"/>
      <c r="AX39" s="18" t="s">
        <v>161</v>
      </c>
      <c r="AY39" s="18">
        <v>80</v>
      </c>
      <c r="AZ39" s="18">
        <v>88</v>
      </c>
      <c r="BA39" s="18">
        <v>92</v>
      </c>
    </row>
    <row r="40" spans="1:53" s="9" customFormat="1" x14ac:dyDescent="0.25">
      <c r="A40" s="8">
        <v>39</v>
      </c>
      <c r="B40" s="8">
        <v>9792</v>
      </c>
      <c r="C40" s="8">
        <v>172</v>
      </c>
      <c r="D40" s="8" t="s">
        <v>0</v>
      </c>
      <c r="E40" s="8">
        <v>4</v>
      </c>
      <c r="F40" s="8">
        <v>862.67</v>
      </c>
      <c r="G40" s="8">
        <v>0.01</v>
      </c>
      <c r="H40" s="8">
        <v>45279.065972222219</v>
      </c>
      <c r="I40" s="8" t="s">
        <v>48</v>
      </c>
      <c r="J40" s="8" t="s">
        <v>70</v>
      </c>
      <c r="K40" s="8">
        <v>55</v>
      </c>
      <c r="L40" s="8" t="s">
        <v>18</v>
      </c>
      <c r="M40" s="8" t="s">
        <v>24</v>
      </c>
      <c r="N40" s="8">
        <v>34.06</v>
      </c>
      <c r="O40" s="16" t="s">
        <v>92</v>
      </c>
      <c r="P40" s="11">
        <v>2600</v>
      </c>
      <c r="Q40" s="9">
        <f t="shared" si="0"/>
        <v>3326.0338908683884</v>
      </c>
      <c r="AH40" s="20" t="s">
        <v>91</v>
      </c>
      <c r="AI40" s="20">
        <v>4100</v>
      </c>
      <c r="AJ40" s="20">
        <v>4700</v>
      </c>
      <c r="AK40" s="20">
        <v>3400</v>
      </c>
      <c r="AL40" s="20">
        <v>2800</v>
      </c>
      <c r="AO40" t="s">
        <v>95</v>
      </c>
      <c r="AP40" t="s">
        <v>0</v>
      </c>
      <c r="AQ40" t="s">
        <v>0</v>
      </c>
      <c r="AR40" t="s">
        <v>20</v>
      </c>
      <c r="AS40" t="s">
        <v>20</v>
      </c>
      <c r="AT40" t="s">
        <v>109</v>
      </c>
      <c r="AU40"/>
      <c r="AX40" s="18" t="s">
        <v>162</v>
      </c>
      <c r="AY40" s="18">
        <v>70</v>
      </c>
      <c r="AZ40" s="18">
        <v>75</v>
      </c>
      <c r="BA40" s="18">
        <v>82</v>
      </c>
    </row>
    <row r="41" spans="1:53" s="9" customFormat="1" ht="15.75" thickBot="1" x14ac:dyDescent="0.3">
      <c r="A41" s="8">
        <v>40</v>
      </c>
      <c r="B41" s="8">
        <v>9433</v>
      </c>
      <c r="C41" s="8">
        <v>951</v>
      </c>
      <c r="D41" s="8" t="s">
        <v>31</v>
      </c>
      <c r="E41" s="8">
        <v>1</v>
      </c>
      <c r="F41" s="8">
        <v>511.03</v>
      </c>
      <c r="G41" s="8">
        <v>0.01</v>
      </c>
      <c r="H41" s="8">
        <v>45250.852777777778</v>
      </c>
      <c r="I41" s="8" t="s">
        <v>34</v>
      </c>
      <c r="J41" s="8" t="s">
        <v>71</v>
      </c>
      <c r="K41" s="8">
        <v>40</v>
      </c>
      <c r="L41" s="8" t="s">
        <v>33</v>
      </c>
      <c r="M41" s="8" t="s">
        <v>29</v>
      </c>
      <c r="N41" s="8">
        <v>85.58</v>
      </c>
      <c r="O41" s="16" t="s">
        <v>93</v>
      </c>
      <c r="P41" s="11">
        <v>5900</v>
      </c>
      <c r="Q41" s="9">
        <f t="shared" si="0"/>
        <v>5127.8101672605162</v>
      </c>
      <c r="AH41" s="20" t="s">
        <v>92</v>
      </c>
      <c r="AI41" s="20">
        <v>6800</v>
      </c>
      <c r="AJ41" s="20">
        <v>7200</v>
      </c>
      <c r="AK41" s="20">
        <v>6100</v>
      </c>
      <c r="AL41" s="20">
        <v>5800</v>
      </c>
      <c r="AO41" s="21" t="s">
        <v>90</v>
      </c>
      <c r="AP41" s="21"/>
      <c r="AQ41" s="21"/>
      <c r="AR41" s="21"/>
      <c r="AS41" s="21"/>
      <c r="AT41" s="21"/>
      <c r="AU41"/>
      <c r="AX41" s="18" t="s">
        <v>162</v>
      </c>
      <c r="AY41" s="18">
        <v>72</v>
      </c>
      <c r="AZ41" s="18">
        <v>78</v>
      </c>
      <c r="BA41" s="18">
        <v>84</v>
      </c>
    </row>
    <row r="42" spans="1:53" x14ac:dyDescent="0.25">
      <c r="A42" s="1">
        <v>41</v>
      </c>
      <c r="B42" s="8">
        <v>8513</v>
      </c>
      <c r="C42" s="8">
        <v>907</v>
      </c>
      <c r="D42" s="8" t="s">
        <v>25</v>
      </c>
      <c r="E42" s="8">
        <v>2</v>
      </c>
      <c r="F42" s="8">
        <v>42.59</v>
      </c>
      <c r="G42" s="8">
        <v>0.06</v>
      </c>
      <c r="H42" s="2">
        <v>45530.314583333333</v>
      </c>
      <c r="I42" s="1" t="s">
        <v>16</v>
      </c>
      <c r="J42" s="1" t="s">
        <v>72</v>
      </c>
      <c r="K42" s="8">
        <v>68</v>
      </c>
      <c r="L42" s="1" t="s">
        <v>33</v>
      </c>
      <c r="M42" s="1" t="s">
        <v>29</v>
      </c>
      <c r="N42" s="8">
        <v>51.92</v>
      </c>
      <c r="O42" s="16" t="s">
        <v>90</v>
      </c>
      <c r="P42" s="11">
        <v>7300</v>
      </c>
      <c r="Q42" s="11">
        <v>1700</v>
      </c>
      <c r="AO42" t="s">
        <v>86</v>
      </c>
      <c r="AP42">
        <v>1</v>
      </c>
      <c r="AQ42">
        <v>1</v>
      </c>
      <c r="AR42">
        <v>1</v>
      </c>
      <c r="AS42">
        <v>1</v>
      </c>
      <c r="AT42">
        <v>4</v>
      </c>
    </row>
    <row r="43" spans="1:53" x14ac:dyDescent="0.25">
      <c r="AC43" s="20" t="s">
        <v>150</v>
      </c>
      <c r="AD43" t="s">
        <v>151</v>
      </c>
      <c r="AE43" t="s">
        <v>152</v>
      </c>
      <c r="AO43" t="s">
        <v>85</v>
      </c>
      <c r="AP43">
        <v>7500</v>
      </c>
      <c r="AQ43">
        <v>6200</v>
      </c>
      <c r="AR43">
        <v>3200</v>
      </c>
      <c r="AS43">
        <v>5300</v>
      </c>
      <c r="AT43">
        <v>22200</v>
      </c>
    </row>
    <row r="44" spans="1:53" ht="30" x14ac:dyDescent="0.25">
      <c r="AC44" s="20" t="s">
        <v>90</v>
      </c>
      <c r="AD44" s="19" t="s">
        <v>0</v>
      </c>
      <c r="AE44" s="20">
        <v>9000</v>
      </c>
      <c r="AO44" t="s">
        <v>97</v>
      </c>
      <c r="AP44">
        <v>7500</v>
      </c>
      <c r="AQ44">
        <v>6200</v>
      </c>
      <c r="AR44">
        <v>3200</v>
      </c>
      <c r="AS44">
        <v>5300</v>
      </c>
      <c r="AT44">
        <v>5550</v>
      </c>
    </row>
    <row r="45" spans="1:53" ht="30" x14ac:dyDescent="0.25">
      <c r="AC45" s="20" t="s">
        <v>90</v>
      </c>
      <c r="AD45" s="19" t="s">
        <v>0</v>
      </c>
      <c r="AE45" s="20">
        <v>8000</v>
      </c>
      <c r="AO45" t="s">
        <v>98</v>
      </c>
      <c r="AP45" t="e">
        <v>#DIV/0!</v>
      </c>
      <c r="AQ45" t="e">
        <v>#DIV/0!</v>
      </c>
      <c r="AR45" t="e">
        <v>#DIV/0!</v>
      </c>
      <c r="AS45" t="e">
        <v>#DIV/0!</v>
      </c>
      <c r="AT45">
        <v>3270000</v>
      </c>
    </row>
    <row r="46" spans="1:53" ht="30" x14ac:dyDescent="0.25">
      <c r="AC46" s="20" t="s">
        <v>90</v>
      </c>
      <c r="AD46" s="19" t="s">
        <v>0</v>
      </c>
      <c r="AE46" s="20">
        <v>1000</v>
      </c>
    </row>
    <row r="47" spans="1:53" ht="15.75" thickBot="1" x14ac:dyDescent="0.3">
      <c r="AC47" s="20" t="s">
        <v>91</v>
      </c>
      <c r="AD47" s="19" t="s">
        <v>20</v>
      </c>
      <c r="AE47" s="20">
        <v>8000</v>
      </c>
      <c r="AO47" s="21" t="s">
        <v>91</v>
      </c>
      <c r="AP47" s="21"/>
      <c r="AQ47" s="21"/>
      <c r="AR47" s="21"/>
      <c r="AS47" s="21"/>
      <c r="AT47" s="21"/>
    </row>
    <row r="48" spans="1:53" x14ac:dyDescent="0.25">
      <c r="D48" t="s">
        <v>144</v>
      </c>
      <c r="E48" s="9" t="s">
        <v>145</v>
      </c>
      <c r="AC48" s="20" t="s">
        <v>91</v>
      </c>
      <c r="AD48" s="19" t="s">
        <v>20</v>
      </c>
      <c r="AE48" s="20">
        <v>3000</v>
      </c>
      <c r="AO48" t="s">
        <v>86</v>
      </c>
      <c r="AP48">
        <v>1</v>
      </c>
      <c r="AQ48">
        <v>1</v>
      </c>
      <c r="AR48">
        <v>1</v>
      </c>
      <c r="AS48">
        <v>1</v>
      </c>
      <c r="AT48">
        <v>4</v>
      </c>
    </row>
    <row r="49" spans="4:46" x14ac:dyDescent="0.25">
      <c r="D49" s="11">
        <v>6100</v>
      </c>
      <c r="E49" s="11">
        <v>7500</v>
      </c>
      <c r="AC49" s="20" t="s">
        <v>91</v>
      </c>
      <c r="AD49" s="19" t="s">
        <v>20</v>
      </c>
      <c r="AE49" s="20">
        <v>1000</v>
      </c>
      <c r="AO49" t="s">
        <v>85</v>
      </c>
      <c r="AP49">
        <v>4100</v>
      </c>
      <c r="AQ49">
        <v>4700</v>
      </c>
      <c r="AR49">
        <v>3400</v>
      </c>
      <c r="AS49">
        <v>2800</v>
      </c>
      <c r="AT49">
        <v>15000</v>
      </c>
    </row>
    <row r="50" spans="4:46" ht="30" x14ac:dyDescent="0.25">
      <c r="D50" s="11">
        <v>2200</v>
      </c>
      <c r="E50" s="11">
        <v>8100</v>
      </c>
      <c r="AC50" s="20" t="s">
        <v>92</v>
      </c>
      <c r="AD50" s="19" t="s">
        <v>0</v>
      </c>
      <c r="AE50" s="20">
        <v>900</v>
      </c>
      <c r="AO50" t="s">
        <v>97</v>
      </c>
      <c r="AP50">
        <v>4100</v>
      </c>
      <c r="AQ50">
        <v>4700</v>
      </c>
      <c r="AR50">
        <v>3400</v>
      </c>
      <c r="AS50">
        <v>2800</v>
      </c>
      <c r="AT50">
        <v>3750</v>
      </c>
    </row>
    <row r="51" spans="4:46" ht="30" x14ac:dyDescent="0.25">
      <c r="D51" s="11">
        <v>2900</v>
      </c>
      <c r="E51" s="11">
        <v>4300</v>
      </c>
      <c r="K51" s="17"/>
      <c r="L51" s="17" t="s">
        <v>158</v>
      </c>
      <c r="M51" s="17" t="s">
        <v>159</v>
      </c>
      <c r="N51" s="17" t="s">
        <v>160</v>
      </c>
      <c r="AC51" s="20" t="s">
        <v>92</v>
      </c>
      <c r="AD51" s="19" t="s">
        <v>0</v>
      </c>
      <c r="AE51" s="20">
        <v>2000</v>
      </c>
      <c r="AO51" t="s">
        <v>98</v>
      </c>
      <c r="AP51" t="e">
        <v>#DIV/0!</v>
      </c>
      <c r="AQ51" t="e">
        <v>#DIV/0!</v>
      </c>
      <c r="AR51" t="e">
        <v>#DIV/0!</v>
      </c>
      <c r="AS51" t="e">
        <v>#DIV/0!</v>
      </c>
      <c r="AT51">
        <v>683333.33333333337</v>
      </c>
    </row>
    <row r="52" spans="4:46" ht="30" x14ac:dyDescent="0.25">
      <c r="D52" s="11">
        <v>6200</v>
      </c>
      <c r="E52" s="11">
        <v>2500</v>
      </c>
      <c r="K52" s="18" t="s">
        <v>161</v>
      </c>
      <c r="L52" s="18">
        <v>78</v>
      </c>
      <c r="M52" s="18">
        <v>85</v>
      </c>
      <c r="N52" s="18">
        <v>90</v>
      </c>
      <c r="AC52" s="20" t="s">
        <v>92</v>
      </c>
      <c r="AD52" s="19" t="s">
        <v>0</v>
      </c>
      <c r="AE52" s="20">
        <v>3000</v>
      </c>
    </row>
    <row r="53" spans="4:46" ht="15.75" thickBot="1" x14ac:dyDescent="0.3">
      <c r="D53" s="11">
        <v>6700</v>
      </c>
      <c r="E53" s="11">
        <v>8400</v>
      </c>
      <c r="K53" s="18" t="s">
        <v>161</v>
      </c>
      <c r="L53" s="18">
        <v>80</v>
      </c>
      <c r="M53" s="18">
        <v>88</v>
      </c>
      <c r="N53" s="18">
        <v>92</v>
      </c>
      <c r="AO53" s="21" t="s">
        <v>92</v>
      </c>
      <c r="AP53" s="21"/>
      <c r="AQ53" s="21"/>
      <c r="AR53" s="21"/>
      <c r="AS53" s="21"/>
      <c r="AT53" s="21"/>
    </row>
    <row r="54" spans="4:46" x14ac:dyDescent="0.25">
      <c r="D54" s="11">
        <v>5800</v>
      </c>
      <c r="E54" s="11">
        <v>3400</v>
      </c>
      <c r="K54" s="18" t="s">
        <v>162</v>
      </c>
      <c r="L54" s="18">
        <v>70</v>
      </c>
      <c r="M54" s="18">
        <v>75</v>
      </c>
      <c r="N54" s="18">
        <v>82</v>
      </c>
      <c r="AO54" t="s">
        <v>86</v>
      </c>
      <c r="AP54">
        <v>1</v>
      </c>
      <c r="AQ54">
        <v>1</v>
      </c>
      <c r="AR54">
        <v>1</v>
      </c>
      <c r="AS54">
        <v>1</v>
      </c>
      <c r="AT54">
        <v>4</v>
      </c>
    </row>
    <row r="55" spans="4:46" x14ac:dyDescent="0.25">
      <c r="D55" s="11">
        <v>3900</v>
      </c>
      <c r="E55" s="11">
        <v>4500</v>
      </c>
      <c r="K55" s="18" t="s">
        <v>162</v>
      </c>
      <c r="L55" s="18">
        <v>72</v>
      </c>
      <c r="M55" s="18">
        <v>78</v>
      </c>
      <c r="N55" s="18">
        <v>84</v>
      </c>
      <c r="AO55" t="s">
        <v>85</v>
      </c>
      <c r="AP55">
        <v>6800</v>
      </c>
      <c r="AQ55">
        <v>7200</v>
      </c>
      <c r="AR55">
        <v>6100</v>
      </c>
      <c r="AS55">
        <v>5800</v>
      </c>
      <c r="AT55">
        <v>25900</v>
      </c>
    </row>
    <row r="56" spans="4:46" x14ac:dyDescent="0.25">
      <c r="D56" s="11">
        <v>7300</v>
      </c>
      <c r="E56" s="11">
        <v>3600</v>
      </c>
      <c r="AO56" t="s">
        <v>97</v>
      </c>
      <c r="AP56">
        <v>6800</v>
      </c>
      <c r="AQ56">
        <v>7200</v>
      </c>
      <c r="AR56">
        <v>6100</v>
      </c>
      <c r="AS56">
        <v>5800</v>
      </c>
      <c r="AT56">
        <v>6475</v>
      </c>
    </row>
    <row r="57" spans="4:46" x14ac:dyDescent="0.25">
      <c r="E57" s="11">
        <v>2600</v>
      </c>
      <c r="AO57" t="s">
        <v>98</v>
      </c>
      <c r="AP57" t="e">
        <v>#DIV/0!</v>
      </c>
      <c r="AQ57" t="e">
        <v>#DIV/0!</v>
      </c>
      <c r="AR57" t="e">
        <v>#DIV/0!</v>
      </c>
      <c r="AS57" t="e">
        <v>#DIV/0!</v>
      </c>
      <c r="AT57">
        <v>409166.66666666669</v>
      </c>
    </row>
    <row r="59" spans="4:46" ht="15.75" thickBot="1" x14ac:dyDescent="0.3">
      <c r="AO59" s="21" t="s">
        <v>109</v>
      </c>
      <c r="AP59" s="21"/>
      <c r="AQ59" s="21"/>
      <c r="AR59" s="21"/>
      <c r="AS59" s="21"/>
    </row>
    <row r="60" spans="4:46" x14ac:dyDescent="0.25">
      <c r="AO60" t="s">
        <v>86</v>
      </c>
      <c r="AP60">
        <v>3</v>
      </c>
      <c r="AQ60">
        <v>3</v>
      </c>
      <c r="AR60">
        <v>3</v>
      </c>
      <c r="AS60">
        <v>3</v>
      </c>
    </row>
    <row r="61" spans="4:46" x14ac:dyDescent="0.25">
      <c r="AO61" t="s">
        <v>85</v>
      </c>
      <c r="AP61">
        <v>18400</v>
      </c>
      <c r="AQ61">
        <v>18100</v>
      </c>
      <c r="AR61">
        <v>12700</v>
      </c>
      <c r="AS61">
        <v>13900</v>
      </c>
    </row>
    <row r="62" spans="4:46" x14ac:dyDescent="0.25">
      <c r="AO62" t="s">
        <v>97</v>
      </c>
      <c r="AP62">
        <v>6133.333333333333</v>
      </c>
      <c r="AQ62">
        <v>6033.333333333333</v>
      </c>
      <c r="AR62">
        <v>4233.333333333333</v>
      </c>
      <c r="AS62">
        <v>4633.333333333333</v>
      </c>
    </row>
    <row r="63" spans="4:46" x14ac:dyDescent="0.25">
      <c r="AO63" t="s">
        <v>98</v>
      </c>
      <c r="AP63">
        <v>3223333.3333333358</v>
      </c>
      <c r="AQ63">
        <v>1583333.3333333358</v>
      </c>
      <c r="AR63">
        <v>2623333.3333333321</v>
      </c>
      <c r="AS63">
        <v>2583333.3333333321</v>
      </c>
    </row>
    <row r="64" spans="4:46" x14ac:dyDescent="0.25">
      <c r="K64" t="s">
        <v>146</v>
      </c>
      <c r="N64"/>
      <c r="O64"/>
      <c r="P64"/>
      <c r="Q64"/>
    </row>
    <row r="65" spans="11:47" x14ac:dyDescent="0.25">
      <c r="K65"/>
      <c r="N65"/>
      <c r="O65"/>
      <c r="P65"/>
      <c r="Q65"/>
    </row>
    <row r="66" spans="11:47" ht="15.75" thickBot="1" x14ac:dyDescent="0.3">
      <c r="K66" t="s">
        <v>95</v>
      </c>
      <c r="L66" t="s">
        <v>158</v>
      </c>
      <c r="M66" t="s">
        <v>159</v>
      </c>
      <c r="N66" t="s">
        <v>160</v>
      </c>
      <c r="O66" t="s">
        <v>109</v>
      </c>
      <c r="P66"/>
      <c r="Q66"/>
      <c r="AO66" t="s">
        <v>99</v>
      </c>
    </row>
    <row r="67" spans="11:47" ht="15.75" thickBot="1" x14ac:dyDescent="0.3">
      <c r="K67" s="23" t="s">
        <v>161</v>
      </c>
      <c r="L67" s="23"/>
      <c r="M67" s="23"/>
      <c r="N67" s="23"/>
      <c r="O67" s="23"/>
      <c r="P67"/>
      <c r="Q67"/>
      <c r="AO67" s="5" t="s">
        <v>100</v>
      </c>
      <c r="AP67" s="5" t="s">
        <v>101</v>
      </c>
      <c r="AQ67" s="5" t="s">
        <v>102</v>
      </c>
      <c r="AR67" s="5" t="s">
        <v>103</v>
      </c>
      <c r="AS67" s="5" t="s">
        <v>104</v>
      </c>
      <c r="AT67" s="5" t="s">
        <v>105</v>
      </c>
      <c r="AU67" s="5" t="s">
        <v>106</v>
      </c>
    </row>
    <row r="68" spans="11:47" x14ac:dyDescent="0.25">
      <c r="K68" s="22" t="s">
        <v>86</v>
      </c>
      <c r="L68" s="22">
        <v>2</v>
      </c>
      <c r="M68" s="22">
        <v>2</v>
      </c>
      <c r="N68" s="22">
        <v>2</v>
      </c>
      <c r="O68" s="22">
        <v>6</v>
      </c>
      <c r="P68"/>
      <c r="Q68"/>
      <c r="AO68" t="s">
        <v>147</v>
      </c>
      <c r="AP68">
        <v>15361666.666666668</v>
      </c>
      <c r="AQ68">
        <v>2</v>
      </c>
      <c r="AR68">
        <v>7680833.333333334</v>
      </c>
      <c r="AS68">
        <v>65535</v>
      </c>
      <c r="AT68" t="e">
        <v>#NUM!</v>
      </c>
      <c r="AU68" t="e">
        <v>#NUM!</v>
      </c>
    </row>
    <row r="69" spans="11:47" x14ac:dyDescent="0.25">
      <c r="K69" s="22" t="s">
        <v>85</v>
      </c>
      <c r="L69" s="22">
        <v>158</v>
      </c>
      <c r="M69" s="22">
        <v>173</v>
      </c>
      <c r="N69" s="22">
        <v>182</v>
      </c>
      <c r="O69" s="22">
        <v>513</v>
      </c>
      <c r="P69"/>
      <c r="Q69"/>
      <c r="AO69" t="s">
        <v>142</v>
      </c>
      <c r="AP69">
        <v>8422500</v>
      </c>
      <c r="AQ69">
        <v>3</v>
      </c>
      <c r="AR69">
        <v>2807500</v>
      </c>
      <c r="AS69">
        <v>65535</v>
      </c>
      <c r="AT69" t="e">
        <v>#NUM!</v>
      </c>
      <c r="AU69" t="e">
        <v>#NUM!</v>
      </c>
    </row>
    <row r="70" spans="11:47" x14ac:dyDescent="0.25">
      <c r="K70" s="22" t="s">
        <v>97</v>
      </c>
      <c r="L70" s="22">
        <v>79</v>
      </c>
      <c r="M70" s="22">
        <v>86.5</v>
      </c>
      <c r="N70" s="22">
        <v>91</v>
      </c>
      <c r="O70" s="22">
        <v>85.5</v>
      </c>
      <c r="P70"/>
      <c r="Q70"/>
      <c r="AO70" t="s">
        <v>148</v>
      </c>
      <c r="AP70">
        <v>4665000</v>
      </c>
      <c r="AQ70">
        <v>6</v>
      </c>
      <c r="AR70">
        <v>777500</v>
      </c>
      <c r="AS70">
        <v>65535</v>
      </c>
      <c r="AT70" t="e">
        <v>#NUM!</v>
      </c>
      <c r="AU70" t="e">
        <v>#NUM!</v>
      </c>
    </row>
    <row r="71" spans="11:47" x14ac:dyDescent="0.25">
      <c r="K71" s="22" t="s">
        <v>98</v>
      </c>
      <c r="L71" s="22">
        <v>2</v>
      </c>
      <c r="M71" s="22">
        <v>4.5</v>
      </c>
      <c r="N71" s="22">
        <v>2</v>
      </c>
      <c r="O71" s="22">
        <v>31.1</v>
      </c>
      <c r="P71"/>
      <c r="Q71"/>
      <c r="AO71" t="s">
        <v>149</v>
      </c>
      <c r="AP71">
        <v>0</v>
      </c>
      <c r="AQ71">
        <v>0</v>
      </c>
      <c r="AR71">
        <v>65535</v>
      </c>
    </row>
    <row r="72" spans="11:47" x14ac:dyDescent="0.25">
      <c r="K72" s="22"/>
      <c r="L72" s="22"/>
      <c r="M72" s="22"/>
      <c r="N72" s="22"/>
      <c r="O72" s="22"/>
      <c r="P72"/>
      <c r="Q72"/>
    </row>
    <row r="73" spans="11:47" ht="15.75" thickBot="1" x14ac:dyDescent="0.3">
      <c r="K73" s="23" t="s">
        <v>162</v>
      </c>
      <c r="L73" s="23"/>
      <c r="M73" s="23"/>
      <c r="N73" s="23"/>
      <c r="O73" s="23"/>
      <c r="P73"/>
      <c r="Q73"/>
      <c r="AO73" s="4" t="s">
        <v>109</v>
      </c>
      <c r="AP73" s="4">
        <v>28449166.666666668</v>
      </c>
      <c r="AQ73" s="4">
        <v>11</v>
      </c>
      <c r="AR73" s="4"/>
      <c r="AS73" s="4"/>
      <c r="AT73" s="4"/>
      <c r="AU73" s="4"/>
    </row>
    <row r="74" spans="11:47" x14ac:dyDescent="0.25">
      <c r="K74" s="22" t="s">
        <v>86</v>
      </c>
      <c r="L74" s="22">
        <v>2</v>
      </c>
      <c r="M74" s="22">
        <v>2</v>
      </c>
      <c r="N74" s="22">
        <v>2</v>
      </c>
      <c r="O74" s="22">
        <v>6</v>
      </c>
      <c r="P74"/>
      <c r="Q74"/>
    </row>
    <row r="75" spans="11:47" x14ac:dyDescent="0.25">
      <c r="K75" s="22" t="s">
        <v>85</v>
      </c>
      <c r="L75" s="22">
        <v>142</v>
      </c>
      <c r="M75" s="22">
        <v>153</v>
      </c>
      <c r="N75" s="22">
        <v>166</v>
      </c>
      <c r="O75" s="22">
        <v>461</v>
      </c>
      <c r="P75"/>
      <c r="Q75"/>
    </row>
    <row r="76" spans="11:47" x14ac:dyDescent="0.25">
      <c r="K76" s="22" t="s">
        <v>97</v>
      </c>
      <c r="L76" s="22">
        <v>71</v>
      </c>
      <c r="M76" s="22">
        <v>76.5</v>
      </c>
      <c r="N76" s="22">
        <v>83</v>
      </c>
      <c r="O76" s="22">
        <v>76.833333333333329</v>
      </c>
      <c r="P76"/>
      <c r="Q76"/>
    </row>
    <row r="77" spans="11:47" x14ac:dyDescent="0.25">
      <c r="K77" s="22" t="s">
        <v>98</v>
      </c>
      <c r="L77" s="22">
        <v>2</v>
      </c>
      <c r="M77" s="22">
        <v>4.5</v>
      </c>
      <c r="N77" s="22">
        <v>2</v>
      </c>
      <c r="O77" s="22">
        <v>30.56666666666667</v>
      </c>
      <c r="P77"/>
      <c r="Q77"/>
    </row>
    <row r="78" spans="11:47" x14ac:dyDescent="0.25">
      <c r="K78" s="22"/>
      <c r="L78" s="22"/>
      <c r="M78" s="22"/>
      <c r="N78" s="22"/>
      <c r="O78" s="22"/>
      <c r="P78"/>
      <c r="Q78"/>
    </row>
    <row r="79" spans="11:47" ht="15.75" thickBot="1" x14ac:dyDescent="0.3">
      <c r="K79" s="23" t="s">
        <v>109</v>
      </c>
      <c r="L79" s="23"/>
      <c r="M79" s="23"/>
      <c r="N79" s="23"/>
      <c r="O79"/>
      <c r="P79"/>
      <c r="Q79"/>
    </row>
    <row r="80" spans="11:47" x14ac:dyDescent="0.25">
      <c r="K80" s="22" t="s">
        <v>86</v>
      </c>
      <c r="L80" s="22">
        <v>4</v>
      </c>
      <c r="M80" s="22">
        <v>4</v>
      </c>
      <c r="N80" s="22">
        <v>4</v>
      </c>
      <c r="O80"/>
      <c r="P80"/>
      <c r="Q80"/>
    </row>
    <row r="81" spans="11:17" x14ac:dyDescent="0.25">
      <c r="K81" s="22" t="s">
        <v>85</v>
      </c>
      <c r="L81" s="22">
        <v>300</v>
      </c>
      <c r="M81" s="22">
        <v>326</v>
      </c>
      <c r="N81" s="22">
        <v>348</v>
      </c>
      <c r="O81"/>
      <c r="P81"/>
      <c r="Q81"/>
    </row>
    <row r="82" spans="11:17" x14ac:dyDescent="0.25">
      <c r="K82" s="22" t="s">
        <v>97</v>
      </c>
      <c r="L82" s="22">
        <v>75</v>
      </c>
      <c r="M82" s="22">
        <v>81.5</v>
      </c>
      <c r="N82" s="22">
        <v>87</v>
      </c>
      <c r="O82"/>
      <c r="P82"/>
      <c r="Q82"/>
    </row>
    <row r="83" spans="11:17" x14ac:dyDescent="0.25">
      <c r="K83" s="22" t="s">
        <v>98</v>
      </c>
      <c r="L83" s="22">
        <v>22.666666666666668</v>
      </c>
      <c r="M83" s="22">
        <v>36.333333333333336</v>
      </c>
      <c r="N83" s="22">
        <v>22.666666666666668</v>
      </c>
      <c r="O83"/>
      <c r="P83"/>
      <c r="Q83"/>
    </row>
    <row r="84" spans="11:17" x14ac:dyDescent="0.25">
      <c r="K84" s="22"/>
      <c r="L84" s="22"/>
      <c r="M84" s="22"/>
      <c r="N84" s="22"/>
      <c r="O84"/>
      <c r="P84"/>
      <c r="Q84"/>
    </row>
    <row r="85" spans="11:17" x14ac:dyDescent="0.25">
      <c r="K85"/>
      <c r="N85"/>
      <c r="O85"/>
      <c r="P85"/>
      <c r="Q85"/>
    </row>
    <row r="86" spans="11:17" ht="15.75" thickBot="1" x14ac:dyDescent="0.3">
      <c r="K86" t="s">
        <v>99</v>
      </c>
      <c r="N86"/>
      <c r="O86"/>
      <c r="P86"/>
      <c r="Q86"/>
    </row>
    <row r="87" spans="11:17" x14ac:dyDescent="0.25">
      <c r="K87" s="25" t="s">
        <v>100</v>
      </c>
      <c r="L87" s="25" t="s">
        <v>101</v>
      </c>
      <c r="M87" s="25" t="s">
        <v>102</v>
      </c>
      <c r="N87" s="25" t="s">
        <v>103</v>
      </c>
      <c r="O87" s="25" t="s">
        <v>104</v>
      </c>
      <c r="P87" s="25" t="s">
        <v>105</v>
      </c>
      <c r="Q87" s="25" t="s">
        <v>106</v>
      </c>
    </row>
    <row r="88" spans="11:17" x14ac:dyDescent="0.25">
      <c r="K88" s="22" t="s">
        <v>147</v>
      </c>
      <c r="L88" s="22">
        <v>225.33333333333337</v>
      </c>
      <c r="M88" s="22">
        <v>1</v>
      </c>
      <c r="N88" s="22">
        <v>225.33333333333337</v>
      </c>
      <c r="O88" s="22">
        <v>79.529411764705898</v>
      </c>
      <c r="P88" s="22">
        <v>1.1084774751821075E-4</v>
      </c>
      <c r="Q88" s="22">
        <v>5.9873776072737011</v>
      </c>
    </row>
    <row r="89" spans="11:17" x14ac:dyDescent="0.25">
      <c r="K89" s="22" t="s">
        <v>142</v>
      </c>
      <c r="L89" s="22">
        <v>288.66666666666674</v>
      </c>
      <c r="M89" s="22">
        <v>2</v>
      </c>
      <c r="N89" s="22">
        <v>144.33333333333337</v>
      </c>
      <c r="O89" s="22">
        <v>50.941176470588246</v>
      </c>
      <c r="P89" s="22">
        <v>1.7202933926137572E-4</v>
      </c>
      <c r="Q89" s="22">
        <v>5.1432528497847176</v>
      </c>
    </row>
    <row r="90" spans="11:17" x14ac:dyDescent="0.25">
      <c r="K90" s="22" t="s">
        <v>148</v>
      </c>
      <c r="L90" s="22">
        <v>2.6666666666666288</v>
      </c>
      <c r="M90" s="22">
        <v>2</v>
      </c>
      <c r="N90" s="22">
        <v>1.3333333333333144</v>
      </c>
      <c r="O90" s="22">
        <v>0.47058823529411092</v>
      </c>
      <c r="P90" s="22">
        <v>0.64588395113424824</v>
      </c>
      <c r="Q90" s="22">
        <v>5.1432528497847176</v>
      </c>
    </row>
    <row r="91" spans="11:17" x14ac:dyDescent="0.25">
      <c r="K91" s="22" t="s">
        <v>149</v>
      </c>
      <c r="L91" s="22">
        <v>17</v>
      </c>
      <c r="M91" s="22">
        <v>6</v>
      </c>
      <c r="N91" s="22">
        <v>2.8333333333333335</v>
      </c>
      <c r="O91" s="22"/>
      <c r="P91" s="22"/>
      <c r="Q91" s="22"/>
    </row>
    <row r="92" spans="11:17" x14ac:dyDescent="0.25">
      <c r="K92" s="22"/>
      <c r="L92" s="22"/>
      <c r="M92" s="22"/>
      <c r="N92" s="22"/>
      <c r="O92" s="22"/>
      <c r="P92" s="22"/>
      <c r="Q92" s="22"/>
    </row>
    <row r="93" spans="11:17" ht="15.75" thickBot="1" x14ac:dyDescent="0.3">
      <c r="K93" s="24" t="s">
        <v>109</v>
      </c>
      <c r="L93" s="24">
        <v>533.66666666666674</v>
      </c>
      <c r="M93" s="24">
        <v>11</v>
      </c>
      <c r="N93" s="24"/>
      <c r="O93" s="24"/>
      <c r="P93" s="24"/>
      <c r="Q93" s="24"/>
    </row>
    <row r="105" spans="6:12" x14ac:dyDescent="0.25">
      <c r="F105" s="26" t="s">
        <v>156</v>
      </c>
      <c r="G105" t="s">
        <v>165</v>
      </c>
      <c r="H105" t="s">
        <v>166</v>
      </c>
      <c r="I105" t="s">
        <v>167</v>
      </c>
      <c r="J105" t="s">
        <v>168</v>
      </c>
      <c r="K105" t="s">
        <v>169</v>
      </c>
      <c r="L105" t="s">
        <v>170</v>
      </c>
    </row>
    <row r="106" spans="6:12" x14ac:dyDescent="0.25">
      <c r="F106" s="27" t="s">
        <v>142</v>
      </c>
      <c r="G106" s="28">
        <v>288.66666666666674</v>
      </c>
      <c r="H106" s="28">
        <v>2</v>
      </c>
      <c r="I106" s="28">
        <v>144.33333333333337</v>
      </c>
      <c r="J106" s="28">
        <v>50.941176470588246</v>
      </c>
      <c r="K106" s="28">
        <v>1.7202933926137572E-4</v>
      </c>
      <c r="L106" s="28">
        <v>5.1432528497847176</v>
      </c>
    </row>
    <row r="107" spans="6:12" x14ac:dyDescent="0.25">
      <c r="F107" s="27" t="s">
        <v>148</v>
      </c>
      <c r="G107" s="28">
        <v>2.6666666666666288</v>
      </c>
      <c r="H107" s="28">
        <v>2</v>
      </c>
      <c r="I107" s="28">
        <v>1.3333333333333144</v>
      </c>
      <c r="J107" s="28">
        <v>0.47058823529411092</v>
      </c>
      <c r="K107" s="28">
        <v>0.64588395113424824</v>
      </c>
      <c r="L107" s="28">
        <v>5.1432528497847176</v>
      </c>
    </row>
    <row r="108" spans="6:12" x14ac:dyDescent="0.25">
      <c r="F108" s="27" t="s">
        <v>147</v>
      </c>
      <c r="G108" s="28">
        <v>225.33333333333337</v>
      </c>
      <c r="H108" s="28">
        <v>1</v>
      </c>
      <c r="I108" s="28">
        <v>225.33333333333337</v>
      </c>
      <c r="J108" s="28">
        <v>79.529411764705898</v>
      </c>
      <c r="K108" s="28">
        <v>1.1084774751821075E-4</v>
      </c>
      <c r="L108" s="28">
        <v>5.9873776072737011</v>
      </c>
    </row>
    <row r="109" spans="6:12" x14ac:dyDescent="0.25">
      <c r="F109" s="27" t="s">
        <v>149</v>
      </c>
      <c r="G109" s="28">
        <v>17</v>
      </c>
      <c r="H109" s="28">
        <v>6</v>
      </c>
      <c r="I109" s="28">
        <v>2.8333333333333335</v>
      </c>
      <c r="J109" s="28"/>
      <c r="K109" s="28"/>
      <c r="L109" s="28"/>
    </row>
    <row r="110" spans="6:12" x14ac:dyDescent="0.25">
      <c r="F110" s="27" t="s">
        <v>157</v>
      </c>
      <c r="G110" s="28">
        <v>533.66666666666674</v>
      </c>
      <c r="H110" s="28">
        <v>11</v>
      </c>
      <c r="I110" s="28">
        <v>373.83333333333337</v>
      </c>
      <c r="J110" s="28">
        <v>130.94117647058826</v>
      </c>
      <c r="K110" s="28">
        <v>0.64616682822102789</v>
      </c>
      <c r="L110" s="28">
        <v>16.273883306843135</v>
      </c>
    </row>
    <row r="118" spans="7:19" x14ac:dyDescent="0.25">
      <c r="G118" s="26" t="s">
        <v>87</v>
      </c>
      <c r="H118" t="s">
        <v>171</v>
      </c>
    </row>
    <row r="120" spans="7:19" x14ac:dyDescent="0.25">
      <c r="G120" s="26" t="s">
        <v>174</v>
      </c>
      <c r="H120" s="26" t="s">
        <v>172</v>
      </c>
      <c r="K120"/>
      <c r="N120"/>
      <c r="O120"/>
      <c r="P120"/>
      <c r="Q120"/>
      <c r="S120"/>
    </row>
    <row r="121" spans="7:19" x14ac:dyDescent="0.25">
      <c r="G121" s="26" t="s">
        <v>156</v>
      </c>
      <c r="H121" t="s">
        <v>27</v>
      </c>
      <c r="I121" t="s">
        <v>16</v>
      </c>
      <c r="J121" t="s">
        <v>34</v>
      </c>
      <c r="K121" t="s">
        <v>21</v>
      </c>
      <c r="L121" t="s">
        <v>48</v>
      </c>
      <c r="M121" t="s">
        <v>157</v>
      </c>
      <c r="N121"/>
      <c r="O121"/>
      <c r="P121"/>
      <c r="Q121"/>
      <c r="S121"/>
    </row>
    <row r="122" spans="7:19" x14ac:dyDescent="0.25">
      <c r="G122" s="27" t="s">
        <v>20</v>
      </c>
      <c r="H122" s="9">
        <v>2800</v>
      </c>
      <c r="I122" s="9">
        <v>2800</v>
      </c>
      <c r="J122" s="9">
        <v>8500</v>
      </c>
      <c r="K122" s="9">
        <v>6600</v>
      </c>
      <c r="L122" s="9">
        <v>6100</v>
      </c>
      <c r="M122" s="9">
        <v>26800</v>
      </c>
      <c r="N122"/>
      <c r="O122"/>
      <c r="P122"/>
      <c r="Q122"/>
      <c r="S122"/>
    </row>
    <row r="123" spans="7:19" x14ac:dyDescent="0.25">
      <c r="G123" s="27" t="s">
        <v>31</v>
      </c>
      <c r="H123" s="9">
        <v>9000</v>
      </c>
      <c r="I123" s="9">
        <v>12100</v>
      </c>
      <c r="J123" s="9">
        <v>11300</v>
      </c>
      <c r="L123" s="9"/>
      <c r="M123" s="9">
        <v>32400</v>
      </c>
      <c r="N123"/>
      <c r="O123"/>
      <c r="P123"/>
      <c r="Q123"/>
      <c r="S123"/>
    </row>
    <row r="124" spans="7:19" x14ac:dyDescent="0.25">
      <c r="G124" s="27" t="s">
        <v>15</v>
      </c>
      <c r="H124" s="9"/>
      <c r="I124" s="9">
        <v>12000</v>
      </c>
      <c r="J124" s="9"/>
      <c r="L124" s="9">
        <v>3100</v>
      </c>
      <c r="M124" s="9">
        <v>15100</v>
      </c>
      <c r="N124"/>
      <c r="O124"/>
      <c r="P124"/>
      <c r="Q124"/>
      <c r="S124"/>
    </row>
    <row r="125" spans="7:19" x14ac:dyDescent="0.25">
      <c r="G125" s="27" t="s">
        <v>0</v>
      </c>
      <c r="H125" s="9">
        <v>3600</v>
      </c>
      <c r="I125" s="9">
        <v>8400</v>
      </c>
      <c r="J125" s="9">
        <v>12600</v>
      </c>
      <c r="K125" s="9">
        <v>11800</v>
      </c>
      <c r="L125" s="9">
        <v>8500</v>
      </c>
      <c r="M125" s="9">
        <v>44900</v>
      </c>
      <c r="N125"/>
      <c r="O125"/>
      <c r="P125"/>
      <c r="Q125"/>
      <c r="S125"/>
    </row>
    <row r="126" spans="7:19" x14ac:dyDescent="0.25">
      <c r="G126" s="27" t="s">
        <v>43</v>
      </c>
      <c r="H126" s="9"/>
      <c r="I126" s="9"/>
      <c r="J126" s="9">
        <v>14200</v>
      </c>
      <c r="K126" s="9">
        <v>4600</v>
      </c>
      <c r="L126" s="9"/>
      <c r="M126" s="9">
        <v>18800</v>
      </c>
      <c r="N126"/>
      <c r="O126"/>
      <c r="P126"/>
      <c r="Q126"/>
      <c r="S126"/>
    </row>
    <row r="127" spans="7:19" x14ac:dyDescent="0.25">
      <c r="G127" s="27" t="s">
        <v>36</v>
      </c>
      <c r="H127" s="9">
        <v>8400</v>
      </c>
      <c r="I127" s="9">
        <v>12600</v>
      </c>
      <c r="J127" s="9">
        <v>5600</v>
      </c>
      <c r="L127" s="9"/>
      <c r="M127" s="9">
        <v>26600</v>
      </c>
      <c r="N127"/>
      <c r="O127"/>
      <c r="P127"/>
      <c r="Q127"/>
      <c r="S127"/>
    </row>
    <row r="128" spans="7:19" x14ac:dyDescent="0.25">
      <c r="G128" s="27" t="s">
        <v>25</v>
      </c>
      <c r="H128" s="9">
        <v>6200</v>
      </c>
      <c r="I128" s="9">
        <v>18200</v>
      </c>
      <c r="J128" s="9">
        <v>6700</v>
      </c>
      <c r="K128" s="9">
        <v>10000</v>
      </c>
      <c r="L128" s="9"/>
      <c r="M128" s="9">
        <v>41100</v>
      </c>
      <c r="N128"/>
      <c r="O128"/>
      <c r="P128"/>
      <c r="Q128"/>
      <c r="S128"/>
    </row>
    <row r="129" spans="7:19" x14ac:dyDescent="0.25">
      <c r="G129" s="27" t="s">
        <v>157</v>
      </c>
      <c r="H129" s="9">
        <v>30000</v>
      </c>
      <c r="I129" s="9">
        <v>66100</v>
      </c>
      <c r="J129" s="9">
        <v>58900</v>
      </c>
      <c r="K129" s="9">
        <v>33000</v>
      </c>
      <c r="L129" s="9">
        <v>17700</v>
      </c>
      <c r="M129" s="9">
        <v>205700</v>
      </c>
      <c r="N129"/>
      <c r="O129"/>
      <c r="P129"/>
      <c r="Q129"/>
      <c r="S129"/>
    </row>
    <row r="130" spans="7:19" x14ac:dyDescent="0.25">
      <c r="K130"/>
      <c r="N130"/>
      <c r="O130"/>
      <c r="P130"/>
      <c r="Q130"/>
      <c r="S130"/>
    </row>
    <row r="131" spans="7:19" x14ac:dyDescent="0.25">
      <c r="K131"/>
      <c r="N131"/>
      <c r="O131"/>
      <c r="P131"/>
      <c r="Q131"/>
      <c r="S131"/>
    </row>
    <row r="132" spans="7:19" x14ac:dyDescent="0.25">
      <c r="K132"/>
      <c r="N132"/>
      <c r="O132"/>
      <c r="P132"/>
      <c r="Q132"/>
      <c r="S132"/>
    </row>
    <row r="133" spans="7:19" x14ac:dyDescent="0.25">
      <c r="K133"/>
      <c r="N133"/>
      <c r="O133"/>
      <c r="P133"/>
      <c r="Q133"/>
      <c r="S133"/>
    </row>
    <row r="134" spans="7:19" x14ac:dyDescent="0.25">
      <c r="K134"/>
      <c r="N134"/>
      <c r="O134"/>
      <c r="P134"/>
      <c r="Q134"/>
      <c r="S134"/>
    </row>
    <row r="135" spans="7:19" x14ac:dyDescent="0.25">
      <c r="K135"/>
      <c r="N135"/>
      <c r="O135"/>
      <c r="P135"/>
      <c r="Q135"/>
      <c r="S135"/>
    </row>
    <row r="136" spans="7:19" x14ac:dyDescent="0.25">
      <c r="K136"/>
      <c r="N136"/>
      <c r="O136"/>
      <c r="P136"/>
      <c r="Q136"/>
      <c r="S136"/>
    </row>
    <row r="137" spans="7:19" x14ac:dyDescent="0.25">
      <c r="K137"/>
      <c r="N137"/>
      <c r="O137"/>
      <c r="P137"/>
      <c r="Q137"/>
      <c r="S137"/>
    </row>
    <row r="138" spans="7:19" x14ac:dyDescent="0.25">
      <c r="K138"/>
      <c r="N138"/>
      <c r="O138"/>
      <c r="P138"/>
      <c r="Q138"/>
      <c r="S138"/>
    </row>
    <row r="139" spans="7:19" x14ac:dyDescent="0.25">
      <c r="K139"/>
      <c r="N139"/>
      <c r="O139"/>
      <c r="P139"/>
      <c r="Q139"/>
      <c r="S139"/>
    </row>
    <row r="140" spans="7:19" x14ac:dyDescent="0.25">
      <c r="K140"/>
      <c r="N140"/>
      <c r="O140"/>
      <c r="P140"/>
      <c r="Q140"/>
      <c r="S140"/>
    </row>
    <row r="141" spans="7:19" x14ac:dyDescent="0.25">
      <c r="K141"/>
      <c r="N141"/>
      <c r="O141"/>
      <c r="P141"/>
      <c r="Q141"/>
      <c r="S141"/>
    </row>
    <row r="142" spans="7:19" x14ac:dyDescent="0.25">
      <c r="K142"/>
      <c r="N142"/>
      <c r="O142"/>
      <c r="P142"/>
      <c r="Q142"/>
      <c r="S142"/>
    </row>
    <row r="143" spans="7:19" x14ac:dyDescent="0.25">
      <c r="K143"/>
      <c r="N143"/>
      <c r="O143"/>
      <c r="P143"/>
      <c r="Q143"/>
      <c r="S143"/>
    </row>
    <row r="144" spans="7:19" x14ac:dyDescent="0.25">
      <c r="K144"/>
      <c r="N144"/>
      <c r="O144"/>
      <c r="P144"/>
      <c r="Q144"/>
      <c r="S144"/>
    </row>
    <row r="145" spans="11:19" x14ac:dyDescent="0.25">
      <c r="K145"/>
      <c r="N145"/>
      <c r="O145"/>
      <c r="P145"/>
      <c r="Q145"/>
      <c r="S145"/>
    </row>
    <row r="146" spans="11:19" x14ac:dyDescent="0.25">
      <c r="K146"/>
      <c r="N146"/>
      <c r="O146"/>
      <c r="P146"/>
      <c r="Q146"/>
      <c r="S146"/>
    </row>
    <row r="147" spans="11:19" x14ac:dyDescent="0.25">
      <c r="K147"/>
      <c r="N147"/>
      <c r="O147"/>
      <c r="P147"/>
      <c r="Q147"/>
      <c r="S147"/>
    </row>
    <row r="148" spans="11:19" x14ac:dyDescent="0.25">
      <c r="K148"/>
      <c r="N148"/>
      <c r="O148"/>
      <c r="P148"/>
      <c r="Q148"/>
      <c r="S148"/>
    </row>
    <row r="149" spans="11:19" x14ac:dyDescent="0.25">
      <c r="K149"/>
      <c r="N149"/>
      <c r="O149"/>
      <c r="P149"/>
      <c r="Q149"/>
      <c r="S149"/>
    </row>
    <row r="150" spans="11:19" x14ac:dyDescent="0.25">
      <c r="K150"/>
      <c r="N150"/>
      <c r="O150"/>
      <c r="P150"/>
      <c r="Q150"/>
      <c r="S150"/>
    </row>
    <row r="151" spans="11:19" x14ac:dyDescent="0.25">
      <c r="K151"/>
      <c r="N151"/>
      <c r="O151"/>
      <c r="P151"/>
      <c r="Q151"/>
      <c r="S151"/>
    </row>
    <row r="152" spans="11:19" x14ac:dyDescent="0.25">
      <c r="K152"/>
      <c r="N152"/>
      <c r="O152"/>
      <c r="P152"/>
      <c r="Q152"/>
      <c r="S152"/>
    </row>
    <row r="153" spans="11:19" x14ac:dyDescent="0.25">
      <c r="K153"/>
    </row>
    <row r="154" spans="11:19" x14ac:dyDescent="0.25">
      <c r="K154"/>
    </row>
    <row r="155" spans="11:19" x14ac:dyDescent="0.25">
      <c r="K155"/>
    </row>
    <row r="156" spans="11:19" x14ac:dyDescent="0.25">
      <c r="K156"/>
    </row>
    <row r="157" spans="11:19" x14ac:dyDescent="0.25">
      <c r="K157"/>
    </row>
    <row r="158" spans="11:19" x14ac:dyDescent="0.25">
      <c r="K158"/>
    </row>
    <row r="159" spans="11:19" x14ac:dyDescent="0.25">
      <c r="K159"/>
    </row>
    <row r="160" spans="11:19" x14ac:dyDescent="0.25">
      <c r="K160"/>
    </row>
    <row r="161" spans="11:11" x14ac:dyDescent="0.25">
      <c r="K161"/>
    </row>
    <row r="162" spans="11:11" x14ac:dyDescent="0.25">
      <c r="K162"/>
    </row>
  </sheetData>
  <autoFilter ref="D1:D42" xr:uid="{BCB7E211-E9E1-4B8E-8CF3-64B484B1D023}"/>
  <conditionalFormatting sqref="D49:D56">
    <cfRule type="cellIs" dxfId="9" priority="3" operator="lessThan">
      <formula>3000</formula>
    </cfRule>
    <cfRule type="cellIs" dxfId="8" priority="4" operator="greaterThan">
      <formula>6000</formula>
    </cfRule>
  </conditionalFormatting>
  <conditionalFormatting sqref="E49:E57">
    <cfRule type="cellIs" dxfId="7" priority="1" operator="lessThan">
      <formula>3000</formula>
    </cfRule>
    <cfRule type="cellIs" dxfId="6" priority="2" operator="greaterThan">
      <formula>6000</formula>
    </cfRule>
  </conditionalFormatting>
  <conditionalFormatting sqref="O1:O42">
    <cfRule type="cellIs" dxfId="5" priority="13" operator="equal">
      <formula>"south"</formula>
    </cfRule>
  </conditionalFormatting>
  <conditionalFormatting sqref="P1">
    <cfRule type="top10" dxfId="4" priority="16" bottom="1" rank="10"/>
    <cfRule type="top10" dxfId="3" priority="17" percent="1" rank="10"/>
    <cfRule type="top10" dxfId="2" priority="18" percent="1" rank="5"/>
    <cfRule type="top10" priority="19" rank="5"/>
  </conditionalFormatting>
  <conditionalFormatting sqref="P1:P42">
    <cfRule type="cellIs" dxfId="1" priority="14" operator="lessThan">
      <formula>3000</formula>
    </cfRule>
  </conditionalFormatting>
  <conditionalFormatting sqref="P2:P42">
    <cfRule type="cellIs" dxfId="0" priority="15" operator="greaterThan">
      <formula>6000</formula>
    </cfRule>
  </conditionalFormatting>
  <conditionalFormatting sqref="Q1 Q42">
    <cfRule type="dataBar" priority="12">
      <dataBar>
        <cfvo type="min"/>
        <cfvo type="max"/>
        <color rgb="FF008AEF"/>
      </dataBar>
      <extLst>
        <ext xmlns:x14="http://schemas.microsoft.com/office/spreadsheetml/2009/9/main" uri="{B025F937-C7B1-47D3-B67F-A62EFF666E3E}">
          <x14:id>{D75CDD92-69A6-41DC-85CC-FAD0651A3A25}</x14:id>
        </ext>
      </extLst>
    </cfRule>
  </conditionalFormatting>
  <pageMargins left="0.7" right="0.7" top="0.75" bottom="0.75" header="0.3" footer="0.3"/>
  <drawing r:id="rId3"/>
  <tableParts count="2">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D75CDD92-69A6-41DC-85CC-FAD0651A3A25}">
            <x14:dataBar minLength="0" maxLength="100" gradient="0">
              <x14:cfvo type="autoMin"/>
              <x14:cfvo type="autoMax"/>
              <x14:negativeFillColor rgb="FFFF0000"/>
              <x14:axisColor rgb="FF000000"/>
            </x14:dataBar>
          </x14:cfRule>
          <xm:sqref>Q1 Q42</xm:sqref>
        </x14:conditionalFormatting>
      </x14:conditionalFormattings>
    </ex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Sheet3</vt:lpstr>
      <vt:lpstr>Sheet4</vt:lpstr>
      <vt:lpstr>Sheet5</vt:lpstr>
      <vt:lpstr>Sheet6</vt:lpstr>
      <vt:lpstr>Sheet7</vt:lpstr>
      <vt:lpstr>Sheet8</vt:lpstr>
      <vt:lpstr>Sheet9</vt:lpstr>
      <vt:lpstr>Sheet10</vt:lpstr>
      <vt:lpstr>Sheet11</vt:lpstr>
      <vt:lpstr>Sheet12</vt:lpstr>
      <vt:lpstr>Sheet13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2026-06-05T04:26:50Z</dcterms:created>
  <dcterms:modified xsi:type="dcterms:W3CDTF">2026-06-06T07:21:00Z</dcterms:modified>
</cp:coreProperties>
</file>
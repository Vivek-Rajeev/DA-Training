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TS\Desktop\"/>
    </mc:Choice>
  </mc:AlternateContent>
  <xr:revisionPtr revIDLastSave="0" documentId="8_{75F1A720-1A67-4339-BF7B-4D4F01DD1423}" xr6:coauthVersionLast="47" xr6:coauthVersionMax="47" xr10:uidLastSave="{00000000-0000-0000-0000-000000000000}"/>
  <bookViews>
    <workbookView xWindow="-120" yWindow="-120" windowWidth="29040" windowHeight="15720" activeTab="10" xr2:uid="{6ADC7021-E02B-41CE-9903-C7FC38A74BCD}"/>
  </bookViews>
  <sheets>
    <sheet name="Sheet2" sheetId="2" r:id="rId1"/>
    <sheet name="Sheet3" sheetId="3" r:id="rId2"/>
    <sheet name="Sheet4" sheetId="4" r:id="rId3"/>
    <sheet name="Sheet5" sheetId="5" r:id="rId4"/>
    <sheet name="Sheet6" sheetId="6" r:id="rId5"/>
    <sheet name="Sheet7" sheetId="7" r:id="rId6"/>
    <sheet name="Sheet8" sheetId="8" r:id="rId7"/>
    <sheet name="Sheet9" sheetId="9" r:id="rId8"/>
    <sheet name="Sheet10" sheetId="10" r:id="rId9"/>
    <sheet name="Sheet11" sheetId="11" r:id="rId10"/>
    <sheet name="Sheet1" sheetId="1" r:id="rId11"/>
  </sheets>
  <definedNames>
    <definedName name="_xlnm._FilterDatabase" localSheetId="10" hidden="1">Sheet1!$D$1:$D$42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" i="1" l="1"/>
  <c r="R4" i="1" s="1"/>
  <c r="R5" i="1" s="1"/>
  <c r="R6" i="1" s="1"/>
  <c r="R7" i="1" s="1"/>
  <c r="R8" i="1" s="1"/>
  <c r="R9" i="1" s="1"/>
  <c r="R10" i="1" s="1"/>
  <c r="R11" i="1" s="1"/>
  <c r="R12" i="1" s="1"/>
  <c r="R13" i="1" s="1"/>
  <c r="R14" i="1" s="1"/>
  <c r="R15" i="1" s="1"/>
  <c r="R16" i="1" s="1"/>
  <c r="R17" i="1" s="1"/>
  <c r="R18" i="1" s="1"/>
  <c r="R19" i="1" s="1"/>
  <c r="R20" i="1" s="1"/>
  <c r="R21" i="1" s="1"/>
  <c r="R22" i="1" s="1"/>
  <c r="R23" i="1" s="1"/>
  <c r="R24" i="1" s="1"/>
  <c r="R25" i="1" s="1"/>
  <c r="R26" i="1" s="1"/>
  <c r="R27" i="1" s="1"/>
  <c r="R28" i="1" s="1"/>
  <c r="R29" i="1" s="1"/>
  <c r="R30" i="1" s="1"/>
  <c r="R31" i="1" s="1"/>
  <c r="R32" i="1" s="1"/>
  <c r="R33" i="1" s="1"/>
  <c r="R34" i="1" s="1"/>
  <c r="R35" i="1" s="1"/>
  <c r="R36" i="1" s="1"/>
  <c r="R37" i="1" s="1"/>
  <c r="R38" i="1" s="1"/>
  <c r="R39" i="1" s="1"/>
  <c r="R40" i="1" s="1"/>
  <c r="R41" i="1" s="1"/>
  <c r="C3" i="5"/>
  <c r="B2" i="5"/>
</calcChain>
</file>

<file path=xl/sharedStrings.xml><?xml version="1.0" encoding="utf-8"?>
<sst xmlns="http://schemas.openxmlformats.org/spreadsheetml/2006/main" count="485" uniqueCount="154">
  <si>
    <t>Electronics</t>
  </si>
  <si>
    <t>TransactionID</t>
  </si>
  <si>
    <t>CustomerID</t>
  </si>
  <si>
    <t>ProductID</t>
  </si>
  <si>
    <t>ProductCategory</t>
  </si>
  <si>
    <t>Quantity</t>
  </si>
  <si>
    <t>Price</t>
  </si>
  <si>
    <t>Discount</t>
  </si>
  <si>
    <t>TransactionDate</t>
  </si>
  <si>
    <t>PaymentMethod</t>
  </si>
  <si>
    <t>CustomerLocation</t>
  </si>
  <si>
    <t>CustomerAge</t>
  </si>
  <si>
    <t>CustomerGender</t>
  </si>
  <si>
    <t>CustomerIncomeGroup</t>
  </si>
  <si>
    <t>CustomerLoyaltyScore</t>
  </si>
  <si>
    <t>Clothing</t>
  </si>
  <si>
    <t>Cash on Delivery</t>
  </si>
  <si>
    <t>New Juan</t>
  </si>
  <si>
    <t>Female</t>
  </si>
  <si>
    <t>Medium</t>
  </si>
  <si>
    <t>Beauty</t>
  </si>
  <si>
    <t>Debit Card</t>
  </si>
  <si>
    <t>South Julie</t>
  </si>
  <si>
    <t>Other</t>
  </si>
  <si>
    <t>High</t>
  </si>
  <si>
    <t>Toys</t>
  </si>
  <si>
    <t>West Carrieview</t>
  </si>
  <si>
    <t>Bank Transfer</t>
  </si>
  <si>
    <t>Christianberg</t>
  </si>
  <si>
    <t>Low</t>
  </si>
  <si>
    <t>South Williamhaven</t>
  </si>
  <si>
    <t>Books</t>
  </si>
  <si>
    <t>Stephenfort</t>
  </si>
  <si>
    <t>Male</t>
  </si>
  <si>
    <t>Credit Card</t>
  </si>
  <si>
    <t>North Terristad</t>
  </si>
  <si>
    <t>Sports</t>
  </si>
  <si>
    <t>Pachecotown</t>
  </si>
  <si>
    <t>Port Philipberg</t>
  </si>
  <si>
    <t>Jenniferfurt</t>
  </si>
  <si>
    <t>Lake Carolyn</t>
  </si>
  <si>
    <t>Amandaborough</t>
  </si>
  <si>
    <t>South Maria</t>
  </si>
  <si>
    <t>Home &amp; Kitchen</t>
  </si>
  <si>
    <t>West Marissa</t>
  </si>
  <si>
    <t>Austinburgh</t>
  </si>
  <si>
    <t>Lake Jesse</t>
  </si>
  <si>
    <t>Marioburgh</t>
  </si>
  <si>
    <t>PayPal</t>
  </si>
  <si>
    <t>Ryanhaven</t>
  </si>
  <si>
    <t>Dickersonmouth</t>
  </si>
  <si>
    <t>Annaborough</t>
  </si>
  <si>
    <t>Ramirezburgh</t>
  </si>
  <si>
    <t>Sextonberg</t>
  </si>
  <si>
    <t>Beasleyshire</t>
  </si>
  <si>
    <t>Lake Brittneyland</t>
  </si>
  <si>
    <t>South John</t>
  </si>
  <si>
    <t>New Devin</t>
  </si>
  <si>
    <t>Lake Denise</t>
  </si>
  <si>
    <t>South Susan</t>
  </si>
  <si>
    <t>Johnsonchester</t>
  </si>
  <si>
    <t>Martinberg</t>
  </si>
  <si>
    <t>Lake Billy</t>
  </si>
  <si>
    <t>Josephborough</t>
  </si>
  <si>
    <t>Noahbury</t>
  </si>
  <si>
    <t>Bowmanport</t>
  </si>
  <si>
    <t>South Melvinville</t>
  </si>
  <si>
    <t>East Brittany</t>
  </si>
  <si>
    <t>Lake Stephaniefurt</t>
  </si>
  <si>
    <t>North Adam</t>
  </si>
  <si>
    <t>Sancheztown</t>
  </si>
  <si>
    <t>Burtonmouth</t>
  </si>
  <si>
    <t>Lake Josephmouth</t>
  </si>
  <si>
    <t>Column1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</si>
  <si>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</si>
  <si>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</si>
  <si>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</si>
  <si>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</si>
  <si>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</si>
  <si>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</si>
  <si>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</si>
  <si>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</si>
  <si>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</si>
  <si>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</si>
  <si>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</si>
  <si>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</si>
  <si>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</si>
  <si>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Region</t>
  </si>
  <si>
    <t>Sales</t>
  </si>
  <si>
    <t>Profit</t>
  </si>
  <si>
    <t>North</t>
  </si>
  <si>
    <t>South</t>
  </si>
  <si>
    <t>East</t>
  </si>
  <si>
    <t>West</t>
  </si>
  <si>
    <t>Anova: Single Factor</t>
  </si>
  <si>
    <t>SUMMARY</t>
  </si>
  <si>
    <t>Groups</t>
  </si>
  <si>
    <t>Average</t>
  </si>
  <si>
    <t>Variance</t>
  </si>
  <si>
    <t>ANOVA</t>
  </si>
  <si>
    <t>Source of Variation</t>
  </si>
  <si>
    <t>SS</t>
  </si>
  <si>
    <t>df</t>
  </si>
  <si>
    <t>MS</t>
  </si>
  <si>
    <t>F</t>
  </si>
  <si>
    <t>P-value</t>
  </si>
  <si>
    <t>F crit</t>
  </si>
  <si>
    <t>Between Groups</t>
  </si>
  <si>
    <t>Within Groups</t>
  </si>
  <si>
    <t>Total</t>
  </si>
  <si>
    <t>bins</t>
  </si>
  <si>
    <t>More</t>
  </si>
  <si>
    <t>Frequency</t>
  </si>
  <si>
    <t>Cumulative %</t>
  </si>
  <si>
    <t>2000</t>
  </si>
  <si>
    <t>SUMMARY OUTPUT</t>
  </si>
  <si>
    <t>Regression Statistics</t>
  </si>
  <si>
    <t>Multiple R</t>
  </si>
  <si>
    <t>R Square</t>
  </si>
  <si>
    <t>Adjusted R Square</t>
  </si>
  <si>
    <t>Observations</t>
  </si>
  <si>
    <t>Regression</t>
  </si>
  <si>
    <t>Residual</t>
  </si>
  <si>
    <t>Intercept</t>
  </si>
  <si>
    <t>Significance F</t>
  </si>
  <si>
    <t>Coefficients</t>
  </si>
  <si>
    <t>t Stat</t>
  </si>
  <si>
    <t>Lower 95%</t>
  </si>
  <si>
    <t>Upper 95%</t>
  </si>
  <si>
    <t>Lower 95.0%</t>
  </si>
  <si>
    <t>Upper 95.0%</t>
  </si>
  <si>
    <t>X Variable 1</t>
  </si>
  <si>
    <t>RESIDUAL OUTPUT</t>
  </si>
  <si>
    <t>Observation</t>
  </si>
  <si>
    <t>Predicted Y</t>
  </si>
  <si>
    <t>Residuals</t>
  </si>
  <si>
    <t>Standard Residuals</t>
  </si>
  <si>
    <t>PROBABILITY OUTPUT</t>
  </si>
  <si>
    <t>Percentile</t>
  </si>
  <si>
    <t>Y</t>
  </si>
  <si>
    <t>Anova: Two-Factor Without Replication</t>
  </si>
  <si>
    <t>Rows</t>
  </si>
  <si>
    <t>Columns</t>
  </si>
  <si>
    <t>Error</t>
  </si>
  <si>
    <t>regression</t>
  </si>
  <si>
    <t>toys</t>
  </si>
  <si>
    <t>electronics</t>
  </si>
  <si>
    <t>Anova: Two-Factor With Replication</t>
  </si>
  <si>
    <t>Sample</t>
  </si>
  <si>
    <t>Interaction</t>
  </si>
  <si>
    <t>Within</t>
  </si>
  <si>
    <t>region</t>
  </si>
  <si>
    <t>product</t>
  </si>
  <si>
    <t>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</si>
</sst>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18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/>
    <xf numFmtId="22" fontId="0" fillId="0" borderId="1" xfId="0" applyNumberFormat="1" applyBorder="1"/>
    <xf numFmtId="0" fontId="2" fillId="0" borderId="1" xfId="0" applyFont="1" applyBorder="1"/>
    <xf numFmtId="0" fontId="0" fillId="0" borderId="0" xfId="0" applyFill="1" applyBorder="1" applyAlignment="1"/>
    <xf numFmtId="0" fontId="0" fillId="0" borderId="2" xfId="0" applyFill="1" applyBorder="1" applyAlignment="1"/>
    <xf numFmtId="0" fontId="3" fillId="0" borderId="3" xfId="0" applyFont="1" applyFill="1" applyBorder="1" applyAlignment="1">
      <alignment horizontal="center"/>
    </xf>
    <xf numFmtId="0" fontId="3" fillId="0" borderId="3" xfId="0" applyFont="1" applyFill="1" applyBorder="1" applyAlignment="1">
      <alignment horizontal="centerContinuous"/>
    </xf>
    <xf numFmtId="2" fontId="2" fillId="0" borderId="1" xfId="0" applyNumberFormat="1" applyFont="1" applyBorder="1"/>
    <xf numFmtId="2" fontId="0" fillId="0" borderId="1" xfId="0" applyNumberFormat="1" applyBorder="1"/>
    <xf numFmtId="2" fontId="0" fillId="0" borderId="0" xfId="0" applyNumberFormat="1"/>
    <xf numFmtId="2" fontId="2" fillId="2" borderId="1" xfId="0" applyNumberFormat="1" applyFont="1" applyFill="1" applyBorder="1" applyAlignment="1">
      <alignment horizontal="right" vertical="center" wrapText="1"/>
    </xf>
    <xf numFmtId="2" fontId="0" fillId="0" borderId="1" xfId="0" applyNumberFormat="1" applyBorder="1" applyAlignment="1">
      <alignment horizontal="right" vertical="center" wrapText="1"/>
    </xf>
    <xf numFmtId="2" fontId="0" fillId="0" borderId="0" xfId="0" applyNumberFormat="1" applyFill="1" applyBorder="1" applyAlignment="1"/>
    <xf numFmtId="10" fontId="0" fillId="0" borderId="0" xfId="0" applyNumberFormat="1" applyFill="1" applyBorder="1" applyAlignment="1"/>
    <xf numFmtId="10" fontId="0" fillId="0" borderId="2" xfId="0" applyNumberFormat="1" applyFill="1" applyBorder="1" applyAlignment="1"/>
    <xf numFmtId="2" fontId="0" fillId="0" borderId="2" xfId="0" applyNumberFormat="1" applyFill="1" applyBorder="1" applyAlignment="1"/>
    <xf numFmtId="2" fontId="2" fillId="2" borderId="1" xfId="0" applyNumberFormat="1" applyFont="1" applyFill="1" applyBorder="1" applyAlignment="1">
      <alignment horizontal="center" vertical="center" wrapText="1"/>
    </xf>
    <xf numFmtId="2" fontId="0" fillId="0" borderId="1" xfId="0" applyNumberForma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2" fontId="1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vertical="center" wrapText="1"/>
    </xf>
    <xf numFmtId="0" fontId="4" fillId="0" borderId="4" xfId="0" applyFont="1" applyFill="1" applyBorder="1" applyAlignment="1">
      <alignment horizontal="right"/>
    </xf>
  </cellXfs>
  <cellStyles count="1">
    <cellStyle name="Normal" xfId="0" builtinId="0"/>
  </cellStyles>
  <dxfs count="10"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Histogram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Frequency</c:v>
          </c:tx>
          <c:invertIfNegative val="0"/>
          <c:cat>
            <c:strRef>
              <c:f>Sheet8!$D$2:$D$9</c:f>
              <c:strCache>
                <c:ptCount val="8"/>
                <c:pt idx="0">
                  <c:v>0.15</c:v>
                </c:pt>
                <c:pt idx="1">
                  <c:v>0.25</c:v>
                </c:pt>
                <c:pt idx="2">
                  <c:v>0.30</c:v>
                </c:pt>
                <c:pt idx="3">
                  <c:v>0.05</c:v>
                </c:pt>
                <c:pt idx="4">
                  <c:v>0.10</c:v>
                </c:pt>
                <c:pt idx="5">
                  <c:v>0.01</c:v>
                </c:pt>
                <c:pt idx="6">
                  <c:v>0.20</c:v>
                </c:pt>
                <c:pt idx="7">
                  <c:v>More</c:v>
                </c:pt>
              </c:strCache>
            </c:strRef>
          </c:cat>
          <c:val>
            <c:numRef>
              <c:f>Sheet8!$E$2:$E$9</c:f>
              <c:numCache>
                <c:formatCode>General</c:formatCode>
                <c:ptCount val="8"/>
                <c:pt idx="0">
                  <c:v>8</c:v>
                </c:pt>
                <c:pt idx="1">
                  <c:v>7</c:v>
                </c:pt>
                <c:pt idx="2">
                  <c:v>7</c:v>
                </c:pt>
                <c:pt idx="3">
                  <c:v>5</c:v>
                </c:pt>
                <c:pt idx="4">
                  <c:v>5</c:v>
                </c:pt>
                <c:pt idx="5">
                  <c:v>4</c:v>
                </c:pt>
                <c:pt idx="6">
                  <c:v>4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3F-43BB-B1B4-6ED828973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96593216"/>
        <c:axId val="1096591296"/>
      </c:barChart>
      <c:lineChart>
        <c:grouping val="standard"/>
        <c:varyColors val="0"/>
        <c:ser>
          <c:idx val="1"/>
          <c:order val="1"/>
          <c:tx>
            <c:v>Cumulative %</c:v>
          </c:tx>
          <c:cat>
            <c:strRef>
              <c:f>Sheet8!$D$2:$D$9</c:f>
              <c:strCache>
                <c:ptCount val="8"/>
                <c:pt idx="0">
                  <c:v>0.15</c:v>
                </c:pt>
                <c:pt idx="1">
                  <c:v>0.25</c:v>
                </c:pt>
                <c:pt idx="2">
                  <c:v>0.30</c:v>
                </c:pt>
                <c:pt idx="3">
                  <c:v>0.05</c:v>
                </c:pt>
                <c:pt idx="4">
                  <c:v>0.10</c:v>
                </c:pt>
                <c:pt idx="5">
                  <c:v>0.01</c:v>
                </c:pt>
                <c:pt idx="6">
                  <c:v>0.20</c:v>
                </c:pt>
                <c:pt idx="7">
                  <c:v>More</c:v>
                </c:pt>
              </c:strCache>
            </c:strRef>
          </c:cat>
          <c:val>
            <c:numRef>
              <c:f>Sheet8!$F$2:$F$9</c:f>
              <c:numCache>
                <c:formatCode>0.00%</c:formatCode>
                <c:ptCount val="8"/>
                <c:pt idx="0">
                  <c:v>0.2</c:v>
                </c:pt>
                <c:pt idx="1">
                  <c:v>0.375</c:v>
                </c:pt>
                <c:pt idx="2">
                  <c:v>0.55000000000000004</c:v>
                </c:pt>
                <c:pt idx="3">
                  <c:v>0.67500000000000004</c:v>
                </c:pt>
                <c:pt idx="4">
                  <c:v>0.8</c:v>
                </c:pt>
                <c:pt idx="5">
                  <c:v>0.9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3F-43BB-B1B4-6ED828973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43599712"/>
        <c:axId val="1343604032"/>
      </c:lineChart>
      <c:catAx>
        <c:axId val="10965932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bins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96591296"/>
        <c:crosses val="autoZero"/>
        <c:auto val="1"/>
        <c:lblAlgn val="ctr"/>
        <c:lblOffset val="100"/>
        <c:noMultiLvlLbl val="0"/>
      </c:catAx>
      <c:valAx>
        <c:axId val="109659129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Frequency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96593216"/>
        <c:crosses val="autoZero"/>
        <c:crossBetween val="between"/>
      </c:valAx>
      <c:valAx>
        <c:axId val="1343604032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crossAx val="1343599712"/>
        <c:crosses val="max"/>
        <c:crossBetween val="between"/>
      </c:valAx>
      <c:catAx>
        <c:axId val="134359971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43604032"/>
        <c:auto val="1"/>
        <c:lblAlgn val="ctr"/>
        <c:lblOffset val="100"/>
        <c:noMultiLvlLbl val="0"/>
      </c:cat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Histogram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Frequency</c:v>
          </c:tx>
          <c:invertIfNegative val="0"/>
          <c:cat>
            <c:strRef>
              <c:f>Sheet9!$D$2:$D$7</c:f>
              <c:strCache>
                <c:ptCount val="6"/>
                <c:pt idx="0">
                  <c:v>4000.00</c:v>
                </c:pt>
                <c:pt idx="1">
                  <c:v>5000.00</c:v>
                </c:pt>
                <c:pt idx="2">
                  <c:v>7000.00</c:v>
                </c:pt>
                <c:pt idx="3">
                  <c:v>3000.00</c:v>
                </c:pt>
                <c:pt idx="4">
                  <c:v>6000.00</c:v>
                </c:pt>
                <c:pt idx="5">
                  <c:v>More</c:v>
                </c:pt>
              </c:strCache>
            </c:strRef>
          </c:cat>
          <c:val>
            <c:numRef>
              <c:f>Sheet9!$E$2:$E$7</c:f>
              <c:numCache>
                <c:formatCode>General</c:formatCode>
                <c:ptCount val="6"/>
                <c:pt idx="0">
                  <c:v>8</c:v>
                </c:pt>
                <c:pt idx="1">
                  <c:v>7</c:v>
                </c:pt>
                <c:pt idx="2">
                  <c:v>7</c:v>
                </c:pt>
                <c:pt idx="3">
                  <c:v>6</c:v>
                </c:pt>
                <c:pt idx="4">
                  <c:v>6</c:v>
                </c:pt>
                <c:pt idx="5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10-4201-8B86-6E9C7D3C0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43598752"/>
        <c:axId val="1343601632"/>
      </c:barChart>
      <c:lineChart>
        <c:grouping val="standard"/>
        <c:varyColors val="0"/>
        <c:ser>
          <c:idx val="1"/>
          <c:order val="1"/>
          <c:tx>
            <c:v>Cumulative %</c:v>
          </c:tx>
          <c:cat>
            <c:strRef>
              <c:f>Sheet9!$D$2:$D$7</c:f>
              <c:strCache>
                <c:ptCount val="6"/>
                <c:pt idx="0">
                  <c:v>4000.00</c:v>
                </c:pt>
                <c:pt idx="1">
                  <c:v>5000.00</c:v>
                </c:pt>
                <c:pt idx="2">
                  <c:v>7000.00</c:v>
                </c:pt>
                <c:pt idx="3">
                  <c:v>3000.00</c:v>
                </c:pt>
                <c:pt idx="4">
                  <c:v>6000.00</c:v>
                </c:pt>
                <c:pt idx="5">
                  <c:v>More</c:v>
                </c:pt>
              </c:strCache>
            </c:strRef>
          </c:cat>
          <c:val>
            <c:numRef>
              <c:f>Sheet9!$F$2:$F$7</c:f>
              <c:numCache>
                <c:formatCode>0.00%</c:formatCode>
                <c:ptCount val="6"/>
                <c:pt idx="0">
                  <c:v>0.20512820512820512</c:v>
                </c:pt>
                <c:pt idx="1">
                  <c:v>0.38461538461538464</c:v>
                </c:pt>
                <c:pt idx="2">
                  <c:v>0.5641025641025641</c:v>
                </c:pt>
                <c:pt idx="3">
                  <c:v>0.71794871794871795</c:v>
                </c:pt>
                <c:pt idx="4">
                  <c:v>0.87179487179487181</c:v>
                </c:pt>
                <c:pt idx="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110-4201-8B86-6E9C7D3C0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0578208"/>
        <c:axId val="1390574848"/>
      </c:lineChart>
      <c:catAx>
        <c:axId val="13435987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2000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43601632"/>
        <c:crosses val="autoZero"/>
        <c:auto val="1"/>
        <c:lblAlgn val="ctr"/>
        <c:lblOffset val="100"/>
        <c:noMultiLvlLbl val="0"/>
      </c:catAx>
      <c:valAx>
        <c:axId val="134360163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Frequency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43598752"/>
        <c:crosses val="autoZero"/>
        <c:crossBetween val="between"/>
      </c:valAx>
      <c:valAx>
        <c:axId val="1390574848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crossAx val="1390578208"/>
        <c:crosses val="max"/>
        <c:crossBetween val="between"/>
      </c:valAx>
      <c:catAx>
        <c:axId val="139057820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90574848"/>
        <c:auto val="1"/>
        <c:lblAlgn val="ctr"/>
        <c:lblOffset val="100"/>
        <c:noMultiLvlLbl val="0"/>
      </c:cat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X Variable 1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Sheet1!$G$2:$G$42</c:f>
              <c:numCache>
                <c:formatCode>0.00</c:formatCode>
                <c:ptCount val="41"/>
                <c:pt idx="0">
                  <c:v>0.13</c:v>
                </c:pt>
                <c:pt idx="1">
                  <c:v>0.06</c:v>
                </c:pt>
                <c:pt idx="2">
                  <c:v>0.24</c:v>
                </c:pt>
                <c:pt idx="3">
                  <c:v>0.01</c:v>
                </c:pt>
                <c:pt idx="4">
                  <c:v>0.14000000000000001</c:v>
                </c:pt>
                <c:pt idx="5">
                  <c:v>0.18</c:v>
                </c:pt>
                <c:pt idx="6">
                  <c:v>0.09</c:v>
                </c:pt>
                <c:pt idx="7">
                  <c:v>0.28999999999999998</c:v>
                </c:pt>
                <c:pt idx="8">
                  <c:v>0.12</c:v>
                </c:pt>
                <c:pt idx="9">
                  <c:v>0.23</c:v>
                </c:pt>
                <c:pt idx="10">
                  <c:v>0.06</c:v>
                </c:pt>
                <c:pt idx="11">
                  <c:v>0.05</c:v>
                </c:pt>
                <c:pt idx="12">
                  <c:v>0.25</c:v>
                </c:pt>
                <c:pt idx="13">
                  <c:v>0.15</c:v>
                </c:pt>
                <c:pt idx="14">
                  <c:v>0.26</c:v>
                </c:pt>
                <c:pt idx="15">
                  <c:v>0.22</c:v>
                </c:pt>
                <c:pt idx="16">
                  <c:v>0.19</c:v>
                </c:pt>
                <c:pt idx="17">
                  <c:v>0.26</c:v>
                </c:pt>
                <c:pt idx="18">
                  <c:v>0.12</c:v>
                </c:pt>
                <c:pt idx="19">
                  <c:v>0.28000000000000003</c:v>
                </c:pt>
                <c:pt idx="20">
                  <c:v>0.04</c:v>
                </c:pt>
                <c:pt idx="21">
                  <c:v>0.04</c:v>
                </c:pt>
                <c:pt idx="22">
                  <c:v>0.04</c:v>
                </c:pt>
                <c:pt idx="23">
                  <c:v>0.15</c:v>
                </c:pt>
                <c:pt idx="24">
                  <c:v>0.28000000000000003</c:v>
                </c:pt>
                <c:pt idx="25">
                  <c:v>0.2</c:v>
                </c:pt>
                <c:pt idx="26">
                  <c:v>0.11</c:v>
                </c:pt>
                <c:pt idx="27">
                  <c:v>0.05</c:v>
                </c:pt>
                <c:pt idx="28">
                  <c:v>0.11</c:v>
                </c:pt>
                <c:pt idx="29">
                  <c:v>0.01</c:v>
                </c:pt>
                <c:pt idx="30">
                  <c:v>0.06</c:v>
                </c:pt>
                <c:pt idx="31">
                  <c:v>0.28000000000000003</c:v>
                </c:pt>
                <c:pt idx="32">
                  <c:v>0.13</c:v>
                </c:pt>
                <c:pt idx="33">
                  <c:v>0.16</c:v>
                </c:pt>
                <c:pt idx="34">
                  <c:v>0.22</c:v>
                </c:pt>
                <c:pt idx="35">
                  <c:v>0.26</c:v>
                </c:pt>
                <c:pt idx="36">
                  <c:v>0.23</c:v>
                </c:pt>
                <c:pt idx="37">
                  <c:v>0.21</c:v>
                </c:pt>
                <c:pt idx="38">
                  <c:v>0.01</c:v>
                </c:pt>
                <c:pt idx="39">
                  <c:v>0.01</c:v>
                </c:pt>
                <c:pt idx="40">
                  <c:v>0.06</c:v>
                </c:pt>
              </c:numCache>
            </c:numRef>
          </c:xVal>
          <c:yVal>
            <c:numRef>
              <c:f>Sheet10!$C$25:$C$65</c:f>
              <c:numCache>
                <c:formatCode>General</c:formatCode>
                <c:ptCount val="41"/>
                <c:pt idx="0">
                  <c:v>357.30134317831175</c:v>
                </c:pt>
                <c:pt idx="1">
                  <c:v>-231.32781603115117</c:v>
                </c:pt>
                <c:pt idx="2">
                  <c:v>119.48716479318205</c:v>
                </c:pt>
                <c:pt idx="3">
                  <c:v>-307.90864403791034</c:v>
                </c:pt>
                <c:pt idx="4">
                  <c:v>-287.13449122033637</c:v>
                </c:pt>
                <c:pt idx="5">
                  <c:v>-210.13782881492901</c:v>
                </c:pt>
                <c:pt idx="6">
                  <c:v>180.74468077290442</c:v>
                </c:pt>
                <c:pt idx="7">
                  <c:v>105.9379927999413</c:v>
                </c:pt>
                <c:pt idx="8">
                  <c:v>-243.41282242304007</c:v>
                </c:pt>
                <c:pt idx="9">
                  <c:v>-25.697000808169776</c:v>
                </c:pt>
                <c:pt idx="10">
                  <c:v>-110.04781603115117</c:v>
                </c:pt>
                <c:pt idx="11">
                  <c:v>-23.921981632503048</c:v>
                </c:pt>
                <c:pt idx="12">
                  <c:v>-233.91866960546611</c:v>
                </c:pt>
                <c:pt idx="13">
                  <c:v>118.16967438101545</c:v>
                </c:pt>
                <c:pt idx="14">
                  <c:v>-393.06450400411427</c:v>
                </c:pt>
                <c:pt idx="15">
                  <c:v>112.56883359047839</c:v>
                </c:pt>
                <c:pt idx="16">
                  <c:v>-215.39366321357716</c:v>
                </c:pt>
                <c:pt idx="17">
                  <c:v>16.995495995885733</c:v>
                </c:pt>
                <c:pt idx="18">
                  <c:v>403.74717757695998</c:v>
                </c:pt>
                <c:pt idx="19">
                  <c:v>468.0438271985895</c:v>
                </c:pt>
                <c:pt idx="20">
                  <c:v>-321.9961472338548</c:v>
                </c:pt>
                <c:pt idx="21">
                  <c:v>-453.20614723385484</c:v>
                </c:pt>
                <c:pt idx="22">
                  <c:v>428.41385276614523</c:v>
                </c:pt>
                <c:pt idx="23">
                  <c:v>-331.5803256189846</c:v>
                </c:pt>
                <c:pt idx="24">
                  <c:v>-274.56617280141052</c:v>
                </c:pt>
                <c:pt idx="25">
                  <c:v>144.23050238777472</c:v>
                </c:pt>
                <c:pt idx="26">
                  <c:v>506.62301197560805</c:v>
                </c:pt>
                <c:pt idx="27">
                  <c:v>55.748018367497025</c:v>
                </c:pt>
                <c:pt idx="28">
                  <c:v>320.10301197560807</c:v>
                </c:pt>
                <c:pt idx="29">
                  <c:v>188.86135596208959</c:v>
                </c:pt>
                <c:pt idx="30">
                  <c:v>-94.687816031151158</c:v>
                </c:pt>
                <c:pt idx="31">
                  <c:v>-91.006172801410571</c:v>
                </c:pt>
                <c:pt idx="32">
                  <c:v>179.09134317831183</c:v>
                </c:pt>
                <c:pt idx="33">
                  <c:v>-122.33616001763272</c:v>
                </c:pt>
                <c:pt idx="34">
                  <c:v>131.74883359047834</c:v>
                </c:pt>
                <c:pt idx="35">
                  <c:v>1.7854959958857535</c:v>
                </c:pt>
                <c:pt idx="36">
                  <c:v>202.2229991918303</c:v>
                </c:pt>
                <c:pt idx="37">
                  <c:v>-100.55533201087349</c:v>
                </c:pt>
                <c:pt idx="38">
                  <c:v>397.74135596208959</c:v>
                </c:pt>
                <c:pt idx="39">
                  <c:v>46.101355962089599</c:v>
                </c:pt>
                <c:pt idx="40">
                  <c:v>-413.76781603115114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DCC-49F8-9C2E-C04632BA71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6810976"/>
        <c:axId val="1266815296"/>
      </c:scatterChart>
      <c:valAx>
        <c:axId val="12668109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X Variable 1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266815296"/>
        <c:crosses val="autoZero"/>
        <c:crossBetween val="midCat"/>
      </c:valAx>
      <c:valAx>
        <c:axId val="126681529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66810976"/>
        <c:crosses val="autoZero"/>
        <c:crossBetween val="midCat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X Variable 1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</c:v>
          </c:tx>
          <c:spPr>
            <a:ln w="19050">
              <a:noFill/>
            </a:ln>
          </c:spPr>
          <c:xVal>
            <c:numRef>
              <c:f>Sheet1!$G$2:$G$42</c:f>
              <c:numCache>
                <c:formatCode>0.00</c:formatCode>
                <c:ptCount val="41"/>
                <c:pt idx="0">
                  <c:v>0.13</c:v>
                </c:pt>
                <c:pt idx="1">
                  <c:v>0.06</c:v>
                </c:pt>
                <c:pt idx="2">
                  <c:v>0.24</c:v>
                </c:pt>
                <c:pt idx="3">
                  <c:v>0.01</c:v>
                </c:pt>
                <c:pt idx="4">
                  <c:v>0.14000000000000001</c:v>
                </c:pt>
                <c:pt idx="5">
                  <c:v>0.18</c:v>
                </c:pt>
                <c:pt idx="6">
                  <c:v>0.09</c:v>
                </c:pt>
                <c:pt idx="7">
                  <c:v>0.28999999999999998</c:v>
                </c:pt>
                <c:pt idx="8">
                  <c:v>0.12</c:v>
                </c:pt>
                <c:pt idx="9">
                  <c:v>0.23</c:v>
                </c:pt>
                <c:pt idx="10">
                  <c:v>0.06</c:v>
                </c:pt>
                <c:pt idx="11">
                  <c:v>0.05</c:v>
                </c:pt>
                <c:pt idx="12">
                  <c:v>0.25</c:v>
                </c:pt>
                <c:pt idx="13">
                  <c:v>0.15</c:v>
                </c:pt>
                <c:pt idx="14">
                  <c:v>0.26</c:v>
                </c:pt>
                <c:pt idx="15">
                  <c:v>0.22</c:v>
                </c:pt>
                <c:pt idx="16">
                  <c:v>0.19</c:v>
                </c:pt>
                <c:pt idx="17">
                  <c:v>0.26</c:v>
                </c:pt>
                <c:pt idx="18">
                  <c:v>0.12</c:v>
                </c:pt>
                <c:pt idx="19">
                  <c:v>0.28000000000000003</c:v>
                </c:pt>
                <c:pt idx="20">
                  <c:v>0.04</c:v>
                </c:pt>
                <c:pt idx="21">
                  <c:v>0.04</c:v>
                </c:pt>
                <c:pt idx="22">
                  <c:v>0.04</c:v>
                </c:pt>
                <c:pt idx="23">
                  <c:v>0.15</c:v>
                </c:pt>
                <c:pt idx="24">
                  <c:v>0.28000000000000003</c:v>
                </c:pt>
                <c:pt idx="25">
                  <c:v>0.2</c:v>
                </c:pt>
                <c:pt idx="26">
                  <c:v>0.11</c:v>
                </c:pt>
                <c:pt idx="27">
                  <c:v>0.05</c:v>
                </c:pt>
                <c:pt idx="28">
                  <c:v>0.11</c:v>
                </c:pt>
                <c:pt idx="29">
                  <c:v>0.01</c:v>
                </c:pt>
                <c:pt idx="30">
                  <c:v>0.06</c:v>
                </c:pt>
                <c:pt idx="31">
                  <c:v>0.28000000000000003</c:v>
                </c:pt>
                <c:pt idx="32">
                  <c:v>0.13</c:v>
                </c:pt>
                <c:pt idx="33">
                  <c:v>0.16</c:v>
                </c:pt>
                <c:pt idx="34">
                  <c:v>0.22</c:v>
                </c:pt>
                <c:pt idx="35">
                  <c:v>0.26</c:v>
                </c:pt>
                <c:pt idx="36">
                  <c:v>0.23</c:v>
                </c:pt>
                <c:pt idx="37">
                  <c:v>0.21</c:v>
                </c:pt>
                <c:pt idx="38">
                  <c:v>0.01</c:v>
                </c:pt>
                <c:pt idx="39">
                  <c:v>0.01</c:v>
                </c:pt>
                <c:pt idx="40">
                  <c:v>0.06</c:v>
                </c:pt>
              </c:numCache>
            </c:numRef>
          </c:xVal>
          <c:yVal>
            <c:numRef>
              <c:f>Sheet1!$F$2:$F$42</c:f>
              <c:numCache>
                <c:formatCode>0.00</c:formatCode>
                <c:ptCount val="41"/>
                <c:pt idx="0">
                  <c:v>801.66</c:v>
                </c:pt>
                <c:pt idx="1">
                  <c:v>225.03</c:v>
                </c:pt>
                <c:pt idx="2">
                  <c:v>544.99</c:v>
                </c:pt>
                <c:pt idx="3">
                  <c:v>157.02000000000001</c:v>
                </c:pt>
                <c:pt idx="4">
                  <c:v>155.51</c:v>
                </c:pt>
                <c:pt idx="5">
                  <c:v>225.65</c:v>
                </c:pt>
                <c:pt idx="6">
                  <c:v>631.96</c:v>
                </c:pt>
                <c:pt idx="7">
                  <c:v>522.87</c:v>
                </c:pt>
                <c:pt idx="8">
                  <c:v>202.66</c:v>
                </c:pt>
                <c:pt idx="9">
                  <c:v>401.52</c:v>
                </c:pt>
                <c:pt idx="10">
                  <c:v>346.31</c:v>
                </c:pt>
                <c:pt idx="11">
                  <c:v>434.15</c:v>
                </c:pt>
                <c:pt idx="12">
                  <c:v>189.87</c:v>
                </c:pt>
                <c:pt idx="13">
                  <c:v>559.1</c:v>
                </c:pt>
                <c:pt idx="14">
                  <c:v>29.01</c:v>
                </c:pt>
                <c:pt idx="15">
                  <c:v>541.5</c:v>
                </c:pt>
                <c:pt idx="16">
                  <c:v>218.68</c:v>
                </c:pt>
                <c:pt idx="17">
                  <c:v>439.07</c:v>
                </c:pt>
                <c:pt idx="18">
                  <c:v>849.82</c:v>
                </c:pt>
                <c:pt idx="19">
                  <c:v>886.69</c:v>
                </c:pt>
                <c:pt idx="20">
                  <c:v>137.79</c:v>
                </c:pt>
                <c:pt idx="21">
                  <c:v>6.58</c:v>
                </c:pt>
                <c:pt idx="22">
                  <c:v>888.2</c:v>
                </c:pt>
                <c:pt idx="23">
                  <c:v>109.35</c:v>
                </c:pt>
                <c:pt idx="24">
                  <c:v>144.08000000000001</c:v>
                </c:pt>
                <c:pt idx="25">
                  <c:v>576.59</c:v>
                </c:pt>
                <c:pt idx="26">
                  <c:v>954.41</c:v>
                </c:pt>
                <c:pt idx="27">
                  <c:v>513.82000000000005</c:v>
                </c:pt>
                <c:pt idx="28">
                  <c:v>767.89</c:v>
                </c:pt>
                <c:pt idx="29">
                  <c:v>653.79</c:v>
                </c:pt>
                <c:pt idx="30">
                  <c:v>361.67</c:v>
                </c:pt>
                <c:pt idx="31">
                  <c:v>327.64</c:v>
                </c:pt>
                <c:pt idx="32">
                  <c:v>623.45000000000005</c:v>
                </c:pt>
                <c:pt idx="33">
                  <c:v>316.88</c:v>
                </c:pt>
                <c:pt idx="34">
                  <c:v>560.67999999999995</c:v>
                </c:pt>
                <c:pt idx="35">
                  <c:v>423.86</c:v>
                </c:pt>
                <c:pt idx="36">
                  <c:v>629.44000000000005</c:v>
                </c:pt>
                <c:pt idx="37">
                  <c:v>330.09</c:v>
                </c:pt>
                <c:pt idx="38">
                  <c:v>862.67</c:v>
                </c:pt>
                <c:pt idx="39">
                  <c:v>511.03</c:v>
                </c:pt>
                <c:pt idx="40">
                  <c:v>42.59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EE5-417B-A305-E52141B9AF8A}"/>
            </c:ext>
          </c:extLst>
        </c:ser>
        <c:ser>
          <c:idx val="1"/>
          <c:order val="1"/>
          <c:tx>
            <c:v>Predicted Y</c:v>
          </c:tx>
          <c:spPr>
            <a:ln w="19050">
              <a:noFill/>
            </a:ln>
          </c:spPr>
          <c:xVal>
            <c:numRef>
              <c:f>Sheet1!$G$2:$G$42</c:f>
              <c:numCache>
                <c:formatCode>0.00</c:formatCode>
                <c:ptCount val="41"/>
                <c:pt idx="0">
                  <c:v>0.13</c:v>
                </c:pt>
                <c:pt idx="1">
                  <c:v>0.06</c:v>
                </c:pt>
                <c:pt idx="2">
                  <c:v>0.24</c:v>
                </c:pt>
                <c:pt idx="3">
                  <c:v>0.01</c:v>
                </c:pt>
                <c:pt idx="4">
                  <c:v>0.14000000000000001</c:v>
                </c:pt>
                <c:pt idx="5">
                  <c:v>0.18</c:v>
                </c:pt>
                <c:pt idx="6">
                  <c:v>0.09</c:v>
                </c:pt>
                <c:pt idx="7">
                  <c:v>0.28999999999999998</c:v>
                </c:pt>
                <c:pt idx="8">
                  <c:v>0.12</c:v>
                </c:pt>
                <c:pt idx="9">
                  <c:v>0.23</c:v>
                </c:pt>
                <c:pt idx="10">
                  <c:v>0.06</c:v>
                </c:pt>
                <c:pt idx="11">
                  <c:v>0.05</c:v>
                </c:pt>
                <c:pt idx="12">
                  <c:v>0.25</c:v>
                </c:pt>
                <c:pt idx="13">
                  <c:v>0.15</c:v>
                </c:pt>
                <c:pt idx="14">
                  <c:v>0.26</c:v>
                </c:pt>
                <c:pt idx="15">
                  <c:v>0.22</c:v>
                </c:pt>
                <c:pt idx="16">
                  <c:v>0.19</c:v>
                </c:pt>
                <c:pt idx="17">
                  <c:v>0.26</c:v>
                </c:pt>
                <c:pt idx="18">
                  <c:v>0.12</c:v>
                </c:pt>
                <c:pt idx="19">
                  <c:v>0.28000000000000003</c:v>
                </c:pt>
                <c:pt idx="20">
                  <c:v>0.04</c:v>
                </c:pt>
                <c:pt idx="21">
                  <c:v>0.04</c:v>
                </c:pt>
                <c:pt idx="22">
                  <c:v>0.04</c:v>
                </c:pt>
                <c:pt idx="23">
                  <c:v>0.15</c:v>
                </c:pt>
                <c:pt idx="24">
                  <c:v>0.28000000000000003</c:v>
                </c:pt>
                <c:pt idx="25">
                  <c:v>0.2</c:v>
                </c:pt>
                <c:pt idx="26">
                  <c:v>0.11</c:v>
                </c:pt>
                <c:pt idx="27">
                  <c:v>0.05</c:v>
                </c:pt>
                <c:pt idx="28">
                  <c:v>0.11</c:v>
                </c:pt>
                <c:pt idx="29">
                  <c:v>0.01</c:v>
                </c:pt>
                <c:pt idx="30">
                  <c:v>0.06</c:v>
                </c:pt>
                <c:pt idx="31">
                  <c:v>0.28000000000000003</c:v>
                </c:pt>
                <c:pt idx="32">
                  <c:v>0.13</c:v>
                </c:pt>
                <c:pt idx="33">
                  <c:v>0.16</c:v>
                </c:pt>
                <c:pt idx="34">
                  <c:v>0.22</c:v>
                </c:pt>
                <c:pt idx="35">
                  <c:v>0.26</c:v>
                </c:pt>
                <c:pt idx="36">
                  <c:v>0.23</c:v>
                </c:pt>
                <c:pt idx="37">
                  <c:v>0.21</c:v>
                </c:pt>
                <c:pt idx="38">
                  <c:v>0.01</c:v>
                </c:pt>
                <c:pt idx="39">
                  <c:v>0.01</c:v>
                </c:pt>
                <c:pt idx="40">
                  <c:v>0.06</c:v>
                </c:pt>
              </c:numCache>
            </c:numRef>
          </c:xVal>
          <c:yVal>
            <c:numRef>
              <c:f>Sheet10!$B$25:$B$65</c:f>
              <c:numCache>
                <c:formatCode>General</c:formatCode>
                <c:ptCount val="41"/>
                <c:pt idx="0">
                  <c:v>444.35865682168821</c:v>
                </c:pt>
                <c:pt idx="1">
                  <c:v>456.35781603115117</c:v>
                </c:pt>
                <c:pt idx="2">
                  <c:v>425.50283520681796</c:v>
                </c:pt>
                <c:pt idx="3">
                  <c:v>464.92864403791037</c:v>
                </c:pt>
                <c:pt idx="4">
                  <c:v>442.64449122033636</c:v>
                </c:pt>
                <c:pt idx="5">
                  <c:v>435.78782881492901</c:v>
                </c:pt>
                <c:pt idx="6">
                  <c:v>451.21531922709562</c:v>
                </c:pt>
                <c:pt idx="7">
                  <c:v>416.93200720005871</c:v>
                </c:pt>
                <c:pt idx="8">
                  <c:v>446.07282242304007</c:v>
                </c:pt>
                <c:pt idx="9">
                  <c:v>427.21700080816976</c:v>
                </c:pt>
                <c:pt idx="10">
                  <c:v>456.35781603115117</c:v>
                </c:pt>
                <c:pt idx="11">
                  <c:v>458.07198163250303</c:v>
                </c:pt>
                <c:pt idx="12">
                  <c:v>423.78866960546611</c:v>
                </c:pt>
                <c:pt idx="13">
                  <c:v>440.93032561898457</c:v>
                </c:pt>
                <c:pt idx="14">
                  <c:v>422.07450400411426</c:v>
                </c:pt>
                <c:pt idx="15">
                  <c:v>428.93116640952161</c:v>
                </c:pt>
                <c:pt idx="16">
                  <c:v>434.07366321357716</c:v>
                </c:pt>
                <c:pt idx="17">
                  <c:v>422.07450400411426</c:v>
                </c:pt>
                <c:pt idx="18">
                  <c:v>446.07282242304007</c:v>
                </c:pt>
                <c:pt idx="19">
                  <c:v>418.64617280141056</c:v>
                </c:pt>
                <c:pt idx="20">
                  <c:v>459.78614723385482</c:v>
                </c:pt>
                <c:pt idx="21">
                  <c:v>459.78614723385482</c:v>
                </c:pt>
                <c:pt idx="22">
                  <c:v>459.78614723385482</c:v>
                </c:pt>
                <c:pt idx="23">
                  <c:v>440.93032561898457</c:v>
                </c:pt>
                <c:pt idx="24">
                  <c:v>418.64617280141056</c:v>
                </c:pt>
                <c:pt idx="25">
                  <c:v>432.35949761222531</c:v>
                </c:pt>
                <c:pt idx="26">
                  <c:v>447.78698802439192</c:v>
                </c:pt>
                <c:pt idx="27">
                  <c:v>458.07198163250303</c:v>
                </c:pt>
                <c:pt idx="28">
                  <c:v>447.78698802439192</c:v>
                </c:pt>
                <c:pt idx="29">
                  <c:v>464.92864403791037</c:v>
                </c:pt>
                <c:pt idx="30">
                  <c:v>456.35781603115117</c:v>
                </c:pt>
                <c:pt idx="31">
                  <c:v>418.64617280141056</c:v>
                </c:pt>
                <c:pt idx="32">
                  <c:v>444.35865682168821</c:v>
                </c:pt>
                <c:pt idx="33">
                  <c:v>439.21616001763272</c:v>
                </c:pt>
                <c:pt idx="34">
                  <c:v>428.93116640952161</c:v>
                </c:pt>
                <c:pt idx="35">
                  <c:v>422.07450400411426</c:v>
                </c:pt>
                <c:pt idx="36">
                  <c:v>427.21700080816976</c:v>
                </c:pt>
                <c:pt idx="37">
                  <c:v>430.64533201087346</c:v>
                </c:pt>
                <c:pt idx="38">
                  <c:v>464.92864403791037</c:v>
                </c:pt>
                <c:pt idx="39">
                  <c:v>464.92864403791037</c:v>
                </c:pt>
                <c:pt idx="40">
                  <c:v>456.35781603115117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E5-417B-A305-E52141B9AF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8191744"/>
        <c:axId val="1212477936"/>
      </c:scatterChart>
      <c:valAx>
        <c:axId val="9681917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X Variable 1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212477936"/>
        <c:crosses val="autoZero"/>
        <c:crossBetween val="midCat"/>
      </c:valAx>
      <c:valAx>
        <c:axId val="12124779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Y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96819174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Normal Probability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Sheet10!$F$25:$F$65</c:f>
              <c:numCache>
                <c:formatCode>General</c:formatCode>
                <c:ptCount val="41"/>
                <c:pt idx="0">
                  <c:v>1.2195121951219512</c:v>
                </c:pt>
                <c:pt idx="1">
                  <c:v>3.6585365853658534</c:v>
                </c:pt>
                <c:pt idx="2">
                  <c:v>6.0975609756097562</c:v>
                </c:pt>
                <c:pt idx="3">
                  <c:v>8.5365853658536572</c:v>
                </c:pt>
                <c:pt idx="4">
                  <c:v>10.97560975609756</c:v>
                </c:pt>
                <c:pt idx="5">
                  <c:v>13.414634146341463</c:v>
                </c:pt>
                <c:pt idx="6">
                  <c:v>15.853658536585364</c:v>
                </c:pt>
                <c:pt idx="7">
                  <c:v>18.292682926829269</c:v>
                </c:pt>
                <c:pt idx="8">
                  <c:v>20.73170731707317</c:v>
                </c:pt>
                <c:pt idx="9">
                  <c:v>23.170731707317071</c:v>
                </c:pt>
                <c:pt idx="10">
                  <c:v>25.609756097560975</c:v>
                </c:pt>
                <c:pt idx="11">
                  <c:v>28.048780487804876</c:v>
                </c:pt>
                <c:pt idx="12">
                  <c:v>30.487804878048777</c:v>
                </c:pt>
                <c:pt idx="13">
                  <c:v>32.926829268292686</c:v>
                </c:pt>
                <c:pt idx="14">
                  <c:v>35.365853658536587</c:v>
                </c:pt>
                <c:pt idx="15">
                  <c:v>37.804878048780488</c:v>
                </c:pt>
                <c:pt idx="16">
                  <c:v>40.243902439024389</c:v>
                </c:pt>
                <c:pt idx="17">
                  <c:v>42.68292682926829</c:v>
                </c:pt>
                <c:pt idx="18">
                  <c:v>45.121951219512191</c:v>
                </c:pt>
                <c:pt idx="19">
                  <c:v>47.560975609756099</c:v>
                </c:pt>
                <c:pt idx="20">
                  <c:v>50</c:v>
                </c:pt>
                <c:pt idx="21">
                  <c:v>52.439024390243901</c:v>
                </c:pt>
                <c:pt idx="22">
                  <c:v>54.878048780487802</c:v>
                </c:pt>
                <c:pt idx="23">
                  <c:v>57.317073170731703</c:v>
                </c:pt>
                <c:pt idx="24">
                  <c:v>59.756097560975604</c:v>
                </c:pt>
                <c:pt idx="25">
                  <c:v>62.195121951219512</c:v>
                </c:pt>
                <c:pt idx="26">
                  <c:v>64.634146341463421</c:v>
                </c:pt>
                <c:pt idx="27">
                  <c:v>67.073170731707322</c:v>
                </c:pt>
                <c:pt idx="28">
                  <c:v>69.512195121951223</c:v>
                </c:pt>
                <c:pt idx="29">
                  <c:v>71.951219512195124</c:v>
                </c:pt>
                <c:pt idx="30">
                  <c:v>74.390243902439025</c:v>
                </c:pt>
                <c:pt idx="31">
                  <c:v>76.829268292682926</c:v>
                </c:pt>
                <c:pt idx="32">
                  <c:v>79.268292682926827</c:v>
                </c:pt>
                <c:pt idx="33">
                  <c:v>81.707317073170728</c:v>
                </c:pt>
                <c:pt idx="34">
                  <c:v>84.146341463414629</c:v>
                </c:pt>
                <c:pt idx="35">
                  <c:v>86.58536585365853</c:v>
                </c:pt>
                <c:pt idx="36">
                  <c:v>89.024390243902431</c:v>
                </c:pt>
                <c:pt idx="37">
                  <c:v>91.463414634146332</c:v>
                </c:pt>
                <c:pt idx="38">
                  <c:v>93.902439024390247</c:v>
                </c:pt>
                <c:pt idx="39">
                  <c:v>96.341463414634148</c:v>
                </c:pt>
                <c:pt idx="40">
                  <c:v>98.780487804878049</c:v>
                </c:pt>
              </c:numCache>
            </c:numRef>
          </c:xVal>
          <c:yVal>
            <c:numRef>
              <c:f>Sheet10!$G$25:$G$65</c:f>
              <c:numCache>
                <c:formatCode>General</c:formatCode>
                <c:ptCount val="41"/>
                <c:pt idx="0">
                  <c:v>6.58</c:v>
                </c:pt>
                <c:pt idx="1">
                  <c:v>29.01</c:v>
                </c:pt>
                <c:pt idx="2">
                  <c:v>42.59</c:v>
                </c:pt>
                <c:pt idx="3">
                  <c:v>109.35</c:v>
                </c:pt>
                <c:pt idx="4">
                  <c:v>137.79</c:v>
                </c:pt>
                <c:pt idx="5">
                  <c:v>144.08000000000001</c:v>
                </c:pt>
                <c:pt idx="6">
                  <c:v>155.51</c:v>
                </c:pt>
                <c:pt idx="7">
                  <c:v>157.02000000000001</c:v>
                </c:pt>
                <c:pt idx="8">
                  <c:v>189.87</c:v>
                </c:pt>
                <c:pt idx="9">
                  <c:v>202.66</c:v>
                </c:pt>
                <c:pt idx="10">
                  <c:v>218.68</c:v>
                </c:pt>
                <c:pt idx="11">
                  <c:v>225.03</c:v>
                </c:pt>
                <c:pt idx="12">
                  <c:v>225.65</c:v>
                </c:pt>
                <c:pt idx="13">
                  <c:v>316.88</c:v>
                </c:pt>
                <c:pt idx="14">
                  <c:v>327.64</c:v>
                </c:pt>
                <c:pt idx="15">
                  <c:v>330.09</c:v>
                </c:pt>
                <c:pt idx="16">
                  <c:v>346.31</c:v>
                </c:pt>
                <c:pt idx="17">
                  <c:v>361.67</c:v>
                </c:pt>
                <c:pt idx="18">
                  <c:v>401.52</c:v>
                </c:pt>
                <c:pt idx="19">
                  <c:v>423.86</c:v>
                </c:pt>
                <c:pt idx="20">
                  <c:v>434.15</c:v>
                </c:pt>
                <c:pt idx="21">
                  <c:v>439.07</c:v>
                </c:pt>
                <c:pt idx="22">
                  <c:v>511.03</c:v>
                </c:pt>
                <c:pt idx="23">
                  <c:v>513.82000000000005</c:v>
                </c:pt>
                <c:pt idx="24">
                  <c:v>522.87</c:v>
                </c:pt>
                <c:pt idx="25">
                  <c:v>541.5</c:v>
                </c:pt>
                <c:pt idx="26">
                  <c:v>544.99</c:v>
                </c:pt>
                <c:pt idx="27">
                  <c:v>559.1</c:v>
                </c:pt>
                <c:pt idx="28">
                  <c:v>560.67999999999995</c:v>
                </c:pt>
                <c:pt idx="29">
                  <c:v>576.59</c:v>
                </c:pt>
                <c:pt idx="30">
                  <c:v>623.45000000000005</c:v>
                </c:pt>
                <c:pt idx="31">
                  <c:v>629.44000000000005</c:v>
                </c:pt>
                <c:pt idx="32">
                  <c:v>631.96</c:v>
                </c:pt>
                <c:pt idx="33">
                  <c:v>653.79</c:v>
                </c:pt>
                <c:pt idx="34">
                  <c:v>767.89</c:v>
                </c:pt>
                <c:pt idx="35">
                  <c:v>801.66</c:v>
                </c:pt>
                <c:pt idx="36">
                  <c:v>849.82</c:v>
                </c:pt>
                <c:pt idx="37">
                  <c:v>862.67</c:v>
                </c:pt>
                <c:pt idx="38">
                  <c:v>886.69</c:v>
                </c:pt>
                <c:pt idx="39">
                  <c:v>888.2</c:v>
                </c:pt>
                <c:pt idx="40">
                  <c:v>954.41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B4-4478-8933-1D27D9EEC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1377952"/>
        <c:axId val="1631385152"/>
      </c:scatterChart>
      <c:valAx>
        <c:axId val="1631377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Sample Percentile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631385152"/>
        <c:crosses val="autoZero"/>
        <c:crossBetween val="midCat"/>
      </c:valAx>
      <c:valAx>
        <c:axId val="163138515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631377952"/>
        <c:crosses val="autoZero"/>
        <c:crossBetween val="midCat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Exponential Smoothing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Actual</c:v>
          </c:tx>
          <c:val>
            <c:numRef>
              <c:f>Sheet1!$Q$3:$Q$42</c:f>
              <c:numCache>
                <c:formatCode>0.00</c:formatCode>
                <c:ptCount val="40"/>
                <c:pt idx="0">
                  <c:v>3400</c:v>
                </c:pt>
                <c:pt idx="1">
                  <c:v>6100</c:v>
                </c:pt>
                <c:pt idx="2">
                  <c:v>2800</c:v>
                </c:pt>
                <c:pt idx="3">
                  <c:v>7500</c:v>
                </c:pt>
                <c:pt idx="4">
                  <c:v>4100</c:v>
                </c:pt>
                <c:pt idx="5">
                  <c:v>3200</c:v>
                </c:pt>
                <c:pt idx="6">
                  <c:v>5600</c:v>
                </c:pt>
                <c:pt idx="7">
                  <c:v>4900</c:v>
                </c:pt>
                <c:pt idx="8">
                  <c:v>2200</c:v>
                </c:pt>
                <c:pt idx="9">
                  <c:v>6800</c:v>
                </c:pt>
                <c:pt idx="10">
                  <c:v>3700</c:v>
                </c:pt>
                <c:pt idx="11">
                  <c:v>8100</c:v>
                </c:pt>
                <c:pt idx="12">
                  <c:v>4600</c:v>
                </c:pt>
                <c:pt idx="13">
                  <c:v>2900</c:v>
                </c:pt>
                <c:pt idx="14">
                  <c:v>6200</c:v>
                </c:pt>
                <c:pt idx="15">
                  <c:v>5300</c:v>
                </c:pt>
                <c:pt idx="16">
                  <c:v>3100</c:v>
                </c:pt>
                <c:pt idx="17">
                  <c:v>7200</c:v>
                </c:pt>
                <c:pt idx="18">
                  <c:v>4300</c:v>
                </c:pt>
                <c:pt idx="19">
                  <c:v>6700</c:v>
                </c:pt>
                <c:pt idx="20">
                  <c:v>2500</c:v>
                </c:pt>
                <c:pt idx="21">
                  <c:v>5800</c:v>
                </c:pt>
                <c:pt idx="22">
                  <c:v>3900</c:v>
                </c:pt>
                <c:pt idx="23">
                  <c:v>8400</c:v>
                </c:pt>
                <c:pt idx="24">
                  <c:v>4700</c:v>
                </c:pt>
                <c:pt idx="25">
                  <c:v>3400</c:v>
                </c:pt>
                <c:pt idx="26">
                  <c:v>6500</c:v>
                </c:pt>
                <c:pt idx="27">
                  <c:v>5600</c:v>
                </c:pt>
                <c:pt idx="28">
                  <c:v>2800</c:v>
                </c:pt>
                <c:pt idx="29">
                  <c:v>7700</c:v>
                </c:pt>
                <c:pt idx="30">
                  <c:v>4500</c:v>
                </c:pt>
                <c:pt idx="31">
                  <c:v>6100</c:v>
                </c:pt>
                <c:pt idx="32">
                  <c:v>3600</c:v>
                </c:pt>
                <c:pt idx="33">
                  <c:v>4900</c:v>
                </c:pt>
                <c:pt idx="34">
                  <c:v>7000</c:v>
                </c:pt>
                <c:pt idx="35">
                  <c:v>3200</c:v>
                </c:pt>
                <c:pt idx="36">
                  <c:v>5400</c:v>
                </c:pt>
                <c:pt idx="37">
                  <c:v>2600</c:v>
                </c:pt>
                <c:pt idx="38">
                  <c:v>5900</c:v>
                </c:pt>
                <c:pt idx="39">
                  <c:v>7300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32-4E5A-B174-06874204E392}"/>
            </c:ext>
          </c:extLst>
        </c:ser>
        <c:ser>
          <c:idx val="1"/>
          <c:order val="1"/>
          <c:tx>
            <c:v>Forecast</c:v>
          </c:tx>
          <c:val>
            <c:numRef>
              <c:f>Sheet1!$R$2:$R$41</c:f>
              <c:numCache>
                <c:formatCode>0.00</c:formatCode>
                <c:ptCount val="40"/>
                <c:pt idx="1">
                  <c:v>3400</c:v>
                </c:pt>
                <c:pt idx="2" formatCode="General">
                  <c:v>5290</c:v>
                </c:pt>
                <c:pt idx="3" formatCode="General">
                  <c:v>3547</c:v>
                </c:pt>
                <c:pt idx="4" formatCode="General">
                  <c:v>6314.1</c:v>
                </c:pt>
                <c:pt idx="5" formatCode="General">
                  <c:v>4764.2299999999996</c:v>
                </c:pt>
                <c:pt idx="6" formatCode="General">
                  <c:v>3669.2689999999998</c:v>
                </c:pt>
                <c:pt idx="7" formatCode="General">
                  <c:v>5020.7806999999993</c:v>
                </c:pt>
                <c:pt idx="8" formatCode="General">
                  <c:v>4936.2342099999996</c:v>
                </c:pt>
                <c:pt idx="9" formatCode="General">
                  <c:v>3020.8702629999998</c:v>
                </c:pt>
                <c:pt idx="10" formatCode="General">
                  <c:v>5666.2610789</c:v>
                </c:pt>
                <c:pt idx="11" formatCode="General">
                  <c:v>4289.8783236700001</c:v>
                </c:pt>
                <c:pt idx="12" formatCode="General">
                  <c:v>6956.963497101</c:v>
                </c:pt>
                <c:pt idx="13" formatCode="General">
                  <c:v>5307.0890491302998</c:v>
                </c:pt>
                <c:pt idx="14" formatCode="General">
                  <c:v>3622.1267147390899</c:v>
                </c:pt>
                <c:pt idx="15" formatCode="General">
                  <c:v>5426.6380144217273</c:v>
                </c:pt>
                <c:pt idx="16" formatCode="General">
                  <c:v>5337.991404326518</c:v>
                </c:pt>
                <c:pt idx="17" formatCode="General">
                  <c:v>3771.3974212979556</c:v>
                </c:pt>
                <c:pt idx="18" formatCode="General">
                  <c:v>6171.4192263893865</c:v>
                </c:pt>
                <c:pt idx="19" formatCode="General">
                  <c:v>4861.4257679168159</c:v>
                </c:pt>
                <c:pt idx="20" formatCode="General">
                  <c:v>6148.427730375045</c:v>
                </c:pt>
                <c:pt idx="21" formatCode="General">
                  <c:v>3594.5283191125136</c:v>
                </c:pt>
                <c:pt idx="22" formatCode="General">
                  <c:v>5138.3584957337534</c:v>
                </c:pt>
                <c:pt idx="23" formatCode="General">
                  <c:v>4271.5075487201257</c:v>
                </c:pt>
                <c:pt idx="24" formatCode="General">
                  <c:v>7161.4522646160376</c:v>
                </c:pt>
                <c:pt idx="25" formatCode="General">
                  <c:v>5438.435679384811</c:v>
                </c:pt>
                <c:pt idx="26" formatCode="General">
                  <c:v>4011.5307038154433</c:v>
                </c:pt>
                <c:pt idx="27" formatCode="General">
                  <c:v>5753.4592111446327</c:v>
                </c:pt>
                <c:pt idx="28" formatCode="General">
                  <c:v>5646.0377633433891</c:v>
                </c:pt>
                <c:pt idx="29" formatCode="General">
                  <c:v>3653.8113290030165</c:v>
                </c:pt>
                <c:pt idx="30" formatCode="General">
                  <c:v>6486.143398700905</c:v>
                </c:pt>
                <c:pt idx="31" formatCode="General">
                  <c:v>5095.8430196102709</c:v>
                </c:pt>
                <c:pt idx="32" formatCode="General">
                  <c:v>5798.7529058830814</c:v>
                </c:pt>
                <c:pt idx="33" formatCode="General">
                  <c:v>4259.6258717649243</c:v>
                </c:pt>
                <c:pt idx="34" formatCode="General">
                  <c:v>4707.8877615294768</c:v>
                </c:pt>
                <c:pt idx="35" formatCode="General">
                  <c:v>6312.3663284588429</c:v>
                </c:pt>
                <c:pt idx="36">
                  <c:v>4133.7098985376524</c:v>
                </c:pt>
                <c:pt idx="37">
                  <c:v>5020.1129695612954</c:v>
                </c:pt>
                <c:pt idx="38">
                  <c:v>3326.0338908683884</c:v>
                </c:pt>
                <c:pt idx="39">
                  <c:v>5127.8101672605162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D32-4E5A-B174-06874204E3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0571488"/>
        <c:axId val="1390580608"/>
      </c:lineChart>
      <c:catAx>
        <c:axId val="1390571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Data Point</a:t>
                </a:r>
              </a:p>
            </c:rich>
          </c:tx>
          <c:overlay val="0"/>
        </c:title>
        <c:majorTickMark val="out"/>
        <c:minorTickMark val="none"/>
        <c:tickLblPos val="nextTo"/>
        <c:crossAx val="1390580608"/>
        <c:crosses val="autoZero"/>
        <c:auto val="1"/>
        <c:lblAlgn val="ctr"/>
        <c:lblOffset val="100"/>
        <c:noMultiLvlLbl val="0"/>
      </c:catAx>
      <c:valAx>
        <c:axId val="1390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Value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390571488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428625</xdr:colOff>
      <xdr:row>0</xdr:row>
      <xdr:rowOff>180975</xdr:rowOff>
    </xdr:from>
    <xdr:to>
      <xdr:col>13</xdr:col>
      <xdr:colOff>238125</xdr:colOff>
      <xdr:row>13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FA6BF5E-5C67-57FA-CDAF-42A4065152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238125</xdr:colOff>
      <xdr:row>0</xdr:row>
      <xdr:rowOff>180975</xdr:rowOff>
    </xdr:from>
    <xdr:to>
      <xdr:col>13</xdr:col>
      <xdr:colOff>238125</xdr:colOff>
      <xdr:row>10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3D2682-37EF-0A1F-0177-DE22404BAC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0B6735-05AD-FFD8-9D38-2893777930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5EA820F-7031-B31A-E3BF-532F9D24EF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09B9206-427D-F7CF-3160-46E4342682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108697</xdr:colOff>
      <xdr:row>2</xdr:row>
      <xdr:rowOff>19610</xdr:rowOff>
    </xdr:from>
    <xdr:to>
      <xdr:col>25</xdr:col>
      <xdr:colOff>108697</xdr:colOff>
      <xdr:row>12</xdr:row>
      <xdr:rowOff>19610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B0A3253-F407-08B1-0047-F2EE98C97D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A4787-C4E2-4F41-8EE2-893A163D5F20}">
  <dimension ref="A1:F15"/>
  <sheetViews>
    <sheetView workbookViewId="0">
      <selection activeCell="F6" sqref="F6"/>
    </sheetView>
  </sheetViews>
  <sheetFormatPr defaultRowHeight="15" x14ac:dyDescent="0.25"/>
  <sheetData>
    <row r="1" spans="1:6" x14ac:dyDescent="0.25">
      <c r="A1" s="7" t="s">
        <v>73</v>
      </c>
      <c r="B1" s="7"/>
    </row>
    <row r="2" spans="1:6" x14ac:dyDescent="0.25">
      <c r="A2" s="4"/>
      <c r="B2" s="4"/>
    </row>
    <row r="3" spans="1:6" x14ac:dyDescent="0.25">
      <c r="A3" s="4" t="s">
        <v>74</v>
      </c>
      <c r="B3" s="4">
        <v>441.59926829268284</v>
      </c>
    </row>
    <row r="4" spans="1:6" x14ac:dyDescent="0.25">
      <c r="A4" s="4" t="s">
        <v>75</v>
      </c>
      <c r="B4" s="4">
        <v>41.087054832437083</v>
      </c>
    </row>
    <row r="5" spans="1:6" x14ac:dyDescent="0.25">
      <c r="A5" s="4" t="s">
        <v>76</v>
      </c>
      <c r="B5" s="4">
        <v>434.15</v>
      </c>
    </row>
    <row r="6" spans="1:6" x14ac:dyDescent="0.25">
      <c r="A6" s="4" t="s">
        <v>77</v>
      </c>
      <c r="B6" s="4" t="e">
        <v>#N/A</v>
      </c>
      <c r="F6" t="s">
        <v>144</v>
      </c>
    </row>
    <row r="7" spans="1:6" x14ac:dyDescent="0.25">
      <c r="A7" s="4" t="s">
        <v>78</v>
      </c>
      <c r="B7" s="4">
        <v>263.08551664231032</v>
      </c>
    </row>
    <row r="8" spans="1:6" x14ac:dyDescent="0.25">
      <c r="A8" s="4" t="s">
        <v>79</v>
      </c>
      <c r="B8" s="4">
        <v>69213.989066951355</v>
      </c>
    </row>
    <row r="9" spans="1:6" x14ac:dyDescent="0.25">
      <c r="A9" s="4" t="s">
        <v>80</v>
      </c>
      <c r="B9" s="4">
        <v>-0.88016350809872623</v>
      </c>
    </row>
    <row r="10" spans="1:6" x14ac:dyDescent="0.25">
      <c r="A10" s="4" t="s">
        <v>81</v>
      </c>
      <c r="B10" s="4">
        <v>0.22179960264543475</v>
      </c>
    </row>
    <row r="11" spans="1:6" x14ac:dyDescent="0.25">
      <c r="A11" s="4" t="s">
        <v>82</v>
      </c>
      <c r="B11" s="4">
        <v>947.82999999999993</v>
      </c>
    </row>
    <row r="12" spans="1:6" x14ac:dyDescent="0.25">
      <c r="A12" s="4" t="s">
        <v>83</v>
      </c>
      <c r="B12" s="4">
        <v>6.58</v>
      </c>
    </row>
    <row r="13" spans="1:6" x14ac:dyDescent="0.25">
      <c r="A13" s="4" t="s">
        <v>84</v>
      </c>
      <c r="B13" s="4">
        <v>954.41</v>
      </c>
    </row>
    <row r="14" spans="1:6" x14ac:dyDescent="0.25">
      <c r="A14" s="4" t="s">
        <v>85</v>
      </c>
      <c r="B14" s="4">
        <v>18105.569999999996</v>
      </c>
    </row>
    <row r="15" spans="1:6" ht="15.75" thickBot="1" x14ac:dyDescent="0.3">
      <c r="A15" s="5" t="s">
        <v>86</v>
      </c>
      <c r="B15" s="5">
        <v>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1FFF2-67A4-4755-8C53-15457F44C4AE}">
  <dimension ref="A1:C3"/>
  <sheetViews>
    <sheetView workbookViewId="0">
      <selection activeCell="H9" sqref="H9"/>
    </sheetView>
  </sheetViews>
  <sheetFormatPr defaultRowHeight="15" x14ac:dyDescent="0.25"/>
  <sheetData>
    <row r="1" spans="1:3" x14ac:dyDescent="0.25">
      <c r="A1" s="6"/>
      <c r="B1" s="6" t="s">
        <v>6</v>
      </c>
      <c r="C1" s="6" t="s">
        <v>7</v>
      </c>
    </row>
    <row r="2" spans="1:3" x14ac:dyDescent="0.25">
      <c r="A2" s="4" t="s">
        <v>6</v>
      </c>
      <c r="B2" s="4">
        <v>1</v>
      </c>
      <c r="C2" s="4"/>
    </row>
    <row r="3" spans="1:3" ht="15.75" thickBot="1" x14ac:dyDescent="0.3">
      <c r="A3" s="5" t="s">
        <v>7</v>
      </c>
      <c r="B3" s="5">
        <v>-5.935795479330714E-2</v>
      </c>
      <c r="C3" s="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846A2-259E-430E-A9D8-037C9F561922}">
  <dimension ref="A1:C3"/>
  <sheetViews>
    <sheetView workbookViewId="0">
      <selection sqref="A1:C3"/>
    </sheetView>
  </sheetViews>
  <sheetFormatPr defaultRowHeight="15" x14ac:dyDescent="0.25"/>
  <sheetData>
    <row r="1" spans="1:3" x14ac:dyDescent="0.25">
      <c r="A1" s="6"/>
      <c r="B1" s="6" t="s">
        <v>88</v>
      </c>
      <c r="C1" s="6" t="s">
        <v>89</v>
      </c>
    </row>
    <row r="2" spans="1:3" x14ac:dyDescent="0.25">
      <c r="A2" s="4" t="s">
        <v>88</v>
      </c>
      <c r="B2" s="4">
        <v>1</v>
      </c>
      <c r="C2" s="4"/>
    </row>
    <row r="3" spans="1:3" ht="15.75" thickBot="1" x14ac:dyDescent="0.3">
      <c r="A3" s="5" t="s">
        <v>89</v>
      </c>
      <c r="B3" s="5">
        <v>0.96589640326544879</v>
      </c>
      <c r="C3" s="5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49B3-D2C8-466F-BC26-01F486CE44A3}">
  <dimension ref="A1:C3"/>
  <sheetViews>
    <sheetView workbookViewId="0">
      <selection sqref="A1:C3"/>
    </sheetView>
  </sheetViews>
  <sheetFormatPr defaultRowHeight="15" x14ac:dyDescent="0.25"/>
  <sheetData>
    <row r="1" spans="1:3" x14ac:dyDescent="0.25">
      <c r="A1" s="6"/>
      <c r="B1" s="6" t="s">
        <v>5</v>
      </c>
      <c r="C1" s="6" t="s">
        <v>6</v>
      </c>
    </row>
    <row r="2" spans="1:3" x14ac:dyDescent="0.25">
      <c r="A2" s="4" t="s">
        <v>5</v>
      </c>
      <c r="B2" s="4">
        <f>VARP(Sheet1!$E$2:$E$42)</f>
        <v>1.3539559785841762</v>
      </c>
      <c r="C2" s="4"/>
    </row>
    <row r="3" spans="1:3" ht="15.75" thickBot="1" x14ac:dyDescent="0.3">
      <c r="A3" s="5" t="s">
        <v>6</v>
      </c>
      <c r="B3" s="5">
        <v>-48.669488399762017</v>
      </c>
      <c r="C3" s="5">
        <f>VARP(Sheet1!$F$2:$F$42)</f>
        <v>67525.842992147649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6C61-32A6-4A8E-A59A-29B05AF943D2}">
  <dimension ref="A1:G14"/>
  <sheetViews>
    <sheetView zoomScale="175" zoomScaleNormal="175" workbookViewId="0">
      <selection activeCell="D20" sqref="D20"/>
    </sheetView>
  </sheetViews>
  <sheetFormatPr defaultRowHeight="15" x14ac:dyDescent="0.25"/>
  <sheetData>
    <row r="1" spans="1:7" x14ac:dyDescent="0.25">
      <c r="A1" t="s">
        <v>94</v>
      </c>
    </row>
    <row r="3" spans="1:7" ht="15.75" thickBot="1" x14ac:dyDescent="0.3">
      <c r="A3" t="s">
        <v>95</v>
      </c>
    </row>
    <row r="4" spans="1:7" x14ac:dyDescent="0.25">
      <c r="A4" s="6" t="s">
        <v>96</v>
      </c>
      <c r="B4" s="6" t="s">
        <v>86</v>
      </c>
      <c r="C4" s="6" t="s">
        <v>85</v>
      </c>
      <c r="D4" s="6" t="s">
        <v>97</v>
      </c>
      <c r="E4" s="6" t="s">
        <v>98</v>
      </c>
    </row>
    <row r="5" spans="1:7" x14ac:dyDescent="0.25">
      <c r="A5" s="4" t="s">
        <v>5</v>
      </c>
      <c r="B5" s="4">
        <v>41</v>
      </c>
      <c r="C5" s="4">
        <v>97</v>
      </c>
      <c r="D5" s="4">
        <v>2.3658536585365852</v>
      </c>
      <c r="E5" s="4">
        <v>1.3878048780487802</v>
      </c>
    </row>
    <row r="6" spans="1:7" ht="15.75" thickBot="1" x14ac:dyDescent="0.3">
      <c r="A6" s="5" t="s">
        <v>6</v>
      </c>
      <c r="B6" s="5">
        <v>41</v>
      </c>
      <c r="C6" s="5">
        <v>18105.569999999996</v>
      </c>
      <c r="D6" s="5">
        <v>441.59926829268284</v>
      </c>
      <c r="E6" s="5">
        <v>69213.989066951355</v>
      </c>
    </row>
    <row r="9" spans="1:7" ht="15.75" thickBot="1" x14ac:dyDescent="0.3">
      <c r="A9" t="s">
        <v>99</v>
      </c>
    </row>
    <row r="10" spans="1:7" x14ac:dyDescent="0.25">
      <c r="A10" s="6" t="s">
        <v>100</v>
      </c>
      <c r="B10" s="6" t="s">
        <v>101</v>
      </c>
      <c r="C10" s="6" t="s">
        <v>102</v>
      </c>
      <c r="D10" s="6" t="s">
        <v>103</v>
      </c>
      <c r="E10" s="6" t="s">
        <v>104</v>
      </c>
      <c r="F10" s="6" t="s">
        <v>105</v>
      </c>
      <c r="G10" s="6" t="s">
        <v>106</v>
      </c>
    </row>
    <row r="11" spans="1:7" x14ac:dyDescent="0.25">
      <c r="A11" s="4" t="s">
        <v>107</v>
      </c>
      <c r="B11" s="4">
        <v>3954982.846889026</v>
      </c>
      <c r="C11" s="4">
        <v>1</v>
      </c>
      <c r="D11" s="4">
        <v>3954982.846889026</v>
      </c>
      <c r="E11" s="4">
        <v>114.28046846332226</v>
      </c>
      <c r="F11" s="4">
        <v>4.4367677391729752E-17</v>
      </c>
      <c r="G11" s="4">
        <v>3.9603524206149485</v>
      </c>
    </row>
    <row r="12" spans="1:7" x14ac:dyDescent="0.25">
      <c r="A12" s="4" t="s">
        <v>108</v>
      </c>
      <c r="B12" s="4">
        <v>2768615.0748731713</v>
      </c>
      <c r="C12" s="4">
        <v>80</v>
      </c>
      <c r="D12" s="4">
        <v>34607.688435914642</v>
      </c>
      <c r="E12" s="4"/>
      <c r="F12" s="4"/>
      <c r="G12" s="4"/>
    </row>
    <row r="13" spans="1:7" x14ac:dyDescent="0.25">
      <c r="A13" s="4"/>
      <c r="B13" s="4"/>
      <c r="C13" s="4"/>
      <c r="D13" s="4"/>
      <c r="E13" s="4"/>
      <c r="F13" s="4"/>
      <c r="G13" s="4"/>
    </row>
    <row r="14" spans="1:7" ht="15.75" thickBot="1" x14ac:dyDescent="0.3">
      <c r="A14" s="5" t="s">
        <v>109</v>
      </c>
      <c r="B14" s="5">
        <v>6723597.9217621973</v>
      </c>
      <c r="C14" s="5">
        <v>81</v>
      </c>
      <c r="D14" s="5"/>
      <c r="E14" s="5"/>
      <c r="F14" s="5"/>
      <c r="G14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B64BD-CB80-4DB9-A229-72B107B7D17A}">
  <dimension ref="A1:B9"/>
  <sheetViews>
    <sheetView workbookViewId="0">
      <selection sqref="A1:B9"/>
    </sheetView>
  </sheetViews>
  <sheetFormatPr defaultRowHeight="15" x14ac:dyDescent="0.25"/>
  <sheetData>
    <row r="1" spans="1:2" x14ac:dyDescent="0.25">
      <c r="A1" s="6" t="s">
        <v>110</v>
      </c>
      <c r="B1" s="6" t="s">
        <v>112</v>
      </c>
    </row>
    <row r="2" spans="1:2" x14ac:dyDescent="0.25">
      <c r="A2" s="13">
        <v>0.01</v>
      </c>
      <c r="B2" s="4">
        <v>4</v>
      </c>
    </row>
    <row r="3" spans="1:2" x14ac:dyDescent="0.25">
      <c r="A3" s="13">
        <v>0.05</v>
      </c>
      <c r="B3" s="4">
        <v>5</v>
      </c>
    </row>
    <row r="4" spans="1:2" x14ac:dyDescent="0.25">
      <c r="A4" s="13">
        <v>0.1</v>
      </c>
      <c r="B4" s="4">
        <v>5</v>
      </c>
    </row>
    <row r="5" spans="1:2" x14ac:dyDescent="0.25">
      <c r="A5" s="13">
        <v>0.15</v>
      </c>
      <c r="B5" s="4">
        <v>8</v>
      </c>
    </row>
    <row r="6" spans="1:2" x14ac:dyDescent="0.25">
      <c r="A6" s="13">
        <v>0.2</v>
      </c>
      <c r="B6" s="4">
        <v>4</v>
      </c>
    </row>
    <row r="7" spans="1:2" x14ac:dyDescent="0.25">
      <c r="A7" s="13">
        <v>0.25</v>
      </c>
      <c r="B7" s="4">
        <v>7</v>
      </c>
    </row>
    <row r="8" spans="1:2" x14ac:dyDescent="0.25">
      <c r="A8" s="13">
        <v>0.3</v>
      </c>
      <c r="B8" s="4">
        <v>7</v>
      </c>
    </row>
    <row r="9" spans="1:2" ht="15.75" thickBot="1" x14ac:dyDescent="0.3">
      <c r="A9" s="5" t="s">
        <v>111</v>
      </c>
      <c r="B9" s="5">
        <v>0</v>
      </c>
    </row>
  </sheetData>
  <sortState xmlns:xlrd2="http://schemas.microsoft.com/office/spreadsheetml/2017/richdata2" ref="A2:A8">
    <sortCondition ref="A2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CF671-1BAC-4036-920F-2F8E4DFCFA1B}">
  <dimension ref="A1:F9"/>
  <sheetViews>
    <sheetView workbookViewId="0">
      <selection activeCell="Q14" sqref="Q14"/>
    </sheetView>
  </sheetViews>
  <sheetFormatPr defaultRowHeight="15" x14ac:dyDescent="0.25"/>
  <sheetData>
    <row r="1" spans="1:6" x14ac:dyDescent="0.25">
      <c r="A1" s="6" t="s">
        <v>110</v>
      </c>
      <c r="B1" s="6" t="s">
        <v>112</v>
      </c>
      <c r="C1" s="6" t="s">
        <v>113</v>
      </c>
      <c r="D1" s="6" t="s">
        <v>110</v>
      </c>
      <c r="E1" s="6" t="s">
        <v>112</v>
      </c>
      <c r="F1" s="6" t="s">
        <v>113</v>
      </c>
    </row>
    <row r="2" spans="1:6" x14ac:dyDescent="0.25">
      <c r="A2" s="13">
        <v>0.01</v>
      </c>
      <c r="B2" s="4">
        <v>4</v>
      </c>
      <c r="C2" s="14">
        <v>0.1</v>
      </c>
      <c r="D2" s="13">
        <v>0.15</v>
      </c>
      <c r="E2" s="4">
        <v>8</v>
      </c>
      <c r="F2" s="14">
        <v>0.2</v>
      </c>
    </row>
    <row r="3" spans="1:6" x14ac:dyDescent="0.25">
      <c r="A3" s="13">
        <v>0.05</v>
      </c>
      <c r="B3" s="4">
        <v>5</v>
      </c>
      <c r="C3" s="14">
        <v>0.22500000000000001</v>
      </c>
      <c r="D3" s="13">
        <v>0.25</v>
      </c>
      <c r="E3" s="4">
        <v>7</v>
      </c>
      <c r="F3" s="14">
        <v>0.375</v>
      </c>
    </row>
    <row r="4" spans="1:6" x14ac:dyDescent="0.25">
      <c r="A4" s="13">
        <v>0.1</v>
      </c>
      <c r="B4" s="4">
        <v>5</v>
      </c>
      <c r="C4" s="14">
        <v>0.35</v>
      </c>
      <c r="D4" s="13">
        <v>0.3</v>
      </c>
      <c r="E4" s="4">
        <v>7</v>
      </c>
      <c r="F4" s="14">
        <v>0.55000000000000004</v>
      </c>
    </row>
    <row r="5" spans="1:6" x14ac:dyDescent="0.25">
      <c r="A5" s="13">
        <v>0.15</v>
      </c>
      <c r="B5" s="4">
        <v>8</v>
      </c>
      <c r="C5" s="14">
        <v>0.55000000000000004</v>
      </c>
      <c r="D5" s="13">
        <v>0.05</v>
      </c>
      <c r="E5" s="4">
        <v>5</v>
      </c>
      <c r="F5" s="14">
        <v>0.67500000000000004</v>
      </c>
    </row>
    <row r="6" spans="1:6" x14ac:dyDescent="0.25">
      <c r="A6" s="13">
        <v>0.2</v>
      </c>
      <c r="B6" s="4">
        <v>4</v>
      </c>
      <c r="C6" s="14">
        <v>0.65</v>
      </c>
      <c r="D6" s="13">
        <v>0.1</v>
      </c>
      <c r="E6" s="4">
        <v>5</v>
      </c>
      <c r="F6" s="14">
        <v>0.8</v>
      </c>
    </row>
    <row r="7" spans="1:6" x14ac:dyDescent="0.25">
      <c r="A7" s="13">
        <v>0.25</v>
      </c>
      <c r="B7" s="4">
        <v>7</v>
      </c>
      <c r="C7" s="14">
        <v>0.82499999999999996</v>
      </c>
      <c r="D7" s="13">
        <v>0.01</v>
      </c>
      <c r="E7" s="4">
        <v>4</v>
      </c>
      <c r="F7" s="14">
        <v>0.9</v>
      </c>
    </row>
    <row r="8" spans="1:6" x14ac:dyDescent="0.25">
      <c r="A8" s="13">
        <v>0.3</v>
      </c>
      <c r="B8" s="4">
        <v>7</v>
      </c>
      <c r="C8" s="14">
        <v>1</v>
      </c>
      <c r="D8" s="13">
        <v>0.2</v>
      </c>
      <c r="E8" s="4">
        <v>4</v>
      </c>
      <c r="F8" s="14">
        <v>1</v>
      </c>
    </row>
    <row r="9" spans="1:6" ht="15.75" thickBot="1" x14ac:dyDescent="0.3">
      <c r="A9" s="5" t="s">
        <v>111</v>
      </c>
      <c r="B9" s="5">
        <v>0</v>
      </c>
      <c r="C9" s="15">
        <v>1</v>
      </c>
      <c r="D9" s="16" t="s">
        <v>111</v>
      </c>
      <c r="E9" s="5">
        <v>0</v>
      </c>
      <c r="F9" s="15">
        <v>1</v>
      </c>
    </row>
  </sheetData>
  <sortState xmlns:xlrd2="http://schemas.microsoft.com/office/spreadsheetml/2017/richdata2" ref="D2:E9">
    <sortCondition descending="1" ref="E2"/>
  </sortState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835B9-D2E7-46AD-9EB9-4C3BCB7AA394}">
  <dimension ref="A1:F7"/>
  <sheetViews>
    <sheetView workbookViewId="0">
      <selection activeCell="D15" sqref="D15"/>
    </sheetView>
  </sheetViews>
  <sheetFormatPr defaultRowHeight="15" x14ac:dyDescent="0.25"/>
  <sheetData>
    <row r="1" spans="1:6" x14ac:dyDescent="0.25">
      <c r="A1" s="6" t="s">
        <v>114</v>
      </c>
      <c r="B1" s="6" t="s">
        <v>112</v>
      </c>
      <c r="C1" s="6" t="s">
        <v>113</v>
      </c>
      <c r="D1" s="6" t="s">
        <v>114</v>
      </c>
      <c r="E1" s="6" t="s">
        <v>112</v>
      </c>
      <c r="F1" s="6" t="s">
        <v>113</v>
      </c>
    </row>
    <row r="2" spans="1:6" x14ac:dyDescent="0.25">
      <c r="A2" s="13">
        <v>3000</v>
      </c>
      <c r="B2" s="4">
        <v>6</v>
      </c>
      <c r="C2" s="14">
        <v>0.15384615384615385</v>
      </c>
      <c r="D2" s="13">
        <v>4000</v>
      </c>
      <c r="E2" s="4">
        <v>8</v>
      </c>
      <c r="F2" s="14">
        <v>0.20512820512820512</v>
      </c>
    </row>
    <row r="3" spans="1:6" x14ac:dyDescent="0.25">
      <c r="A3" s="13">
        <v>4000</v>
      </c>
      <c r="B3" s="4">
        <v>8</v>
      </c>
      <c r="C3" s="14">
        <v>0.35897435897435898</v>
      </c>
      <c r="D3" s="13">
        <v>5000</v>
      </c>
      <c r="E3" s="4">
        <v>7</v>
      </c>
      <c r="F3" s="14">
        <v>0.38461538461538464</v>
      </c>
    </row>
    <row r="4" spans="1:6" x14ac:dyDescent="0.25">
      <c r="A4" s="13">
        <v>5000</v>
      </c>
      <c r="B4" s="4">
        <v>7</v>
      </c>
      <c r="C4" s="14">
        <v>0.53846153846153844</v>
      </c>
      <c r="D4" s="13">
        <v>7000</v>
      </c>
      <c r="E4" s="4">
        <v>7</v>
      </c>
      <c r="F4" s="14">
        <v>0.5641025641025641</v>
      </c>
    </row>
    <row r="5" spans="1:6" x14ac:dyDescent="0.25">
      <c r="A5" s="13">
        <v>6000</v>
      </c>
      <c r="B5" s="4">
        <v>6</v>
      </c>
      <c r="C5" s="14">
        <v>0.69230769230769229</v>
      </c>
      <c r="D5" s="13">
        <v>3000</v>
      </c>
      <c r="E5" s="4">
        <v>6</v>
      </c>
      <c r="F5" s="14">
        <v>0.71794871794871795</v>
      </c>
    </row>
    <row r="6" spans="1:6" x14ac:dyDescent="0.25">
      <c r="A6" s="13">
        <v>7000</v>
      </c>
      <c r="B6" s="4">
        <v>7</v>
      </c>
      <c r="C6" s="14">
        <v>0.87179487179487181</v>
      </c>
      <c r="D6" s="13">
        <v>6000</v>
      </c>
      <c r="E6" s="4">
        <v>6</v>
      </c>
      <c r="F6" s="14">
        <v>0.87179487179487181</v>
      </c>
    </row>
    <row r="7" spans="1:6" ht="15.75" thickBot="1" x14ac:dyDescent="0.3">
      <c r="A7" s="5" t="s">
        <v>111</v>
      </c>
      <c r="B7" s="5">
        <v>5</v>
      </c>
      <c r="C7" s="15">
        <v>1</v>
      </c>
      <c r="D7" s="16" t="s">
        <v>111</v>
      </c>
      <c r="E7" s="5">
        <v>5</v>
      </c>
      <c r="F7" s="15">
        <v>1</v>
      </c>
    </row>
  </sheetData>
  <sortState xmlns:xlrd2="http://schemas.microsoft.com/office/spreadsheetml/2017/richdata2" ref="D2:E7">
    <sortCondition descending="1" ref="E2"/>
  </sortState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14FBC-49D6-4DB8-BFB7-C5C8FAF827AE}">
  <dimension ref="A1:I65"/>
  <sheetViews>
    <sheetView topLeftCell="A10" workbookViewId="0">
      <selection activeCell="R33" sqref="R33"/>
    </sheetView>
  </sheetViews>
  <sheetFormatPr defaultRowHeight="15" x14ac:dyDescent="0.25"/>
  <sheetData>
    <row r="1" spans="1:9" x14ac:dyDescent="0.25">
      <c r="A1" t="s">
        <v>115</v>
      </c>
    </row>
    <row r="2" spans="1:9" ht="15.75" thickBot="1" x14ac:dyDescent="0.3"/>
    <row r="3" spans="1:9" x14ac:dyDescent="0.25">
      <c r="A3" s="7" t="s">
        <v>116</v>
      </c>
      <c r="B3" s="7"/>
    </row>
    <row r="4" spans="1:9" x14ac:dyDescent="0.25">
      <c r="A4" s="4" t="s">
        <v>117</v>
      </c>
      <c r="B4" s="4">
        <v>5.9357954793306945E-2</v>
      </c>
    </row>
    <row r="5" spans="1:9" x14ac:dyDescent="0.25">
      <c r="A5" s="4" t="s">
        <v>118</v>
      </c>
      <c r="B5" s="4">
        <v>3.5233667972442706E-3</v>
      </c>
    </row>
    <row r="6" spans="1:9" x14ac:dyDescent="0.25">
      <c r="A6" s="4" t="s">
        <v>119</v>
      </c>
      <c r="B6" s="4">
        <v>-2.2027316105390493E-2</v>
      </c>
    </row>
    <row r="7" spans="1:9" x14ac:dyDescent="0.25">
      <c r="A7" s="4" t="s">
        <v>75</v>
      </c>
      <c r="B7" s="4">
        <v>265.96726769105254</v>
      </c>
    </row>
    <row r="8" spans="1:9" ht="15.75" thickBot="1" x14ac:dyDescent="0.3">
      <c r="A8" s="5" t="s">
        <v>120</v>
      </c>
      <c r="B8" s="5">
        <v>41</v>
      </c>
    </row>
    <row r="10" spans="1:9" ht="15.75" thickBot="1" x14ac:dyDescent="0.3">
      <c r="A10" t="s">
        <v>99</v>
      </c>
    </row>
    <row r="11" spans="1:9" x14ac:dyDescent="0.25">
      <c r="A11" s="6"/>
      <c r="B11" s="6" t="s">
        <v>102</v>
      </c>
      <c r="C11" s="6" t="s">
        <v>101</v>
      </c>
      <c r="D11" s="6" t="s">
        <v>103</v>
      </c>
      <c r="E11" s="6" t="s">
        <v>104</v>
      </c>
      <c r="F11" s="6" t="s">
        <v>124</v>
      </c>
    </row>
    <row r="12" spans="1:9" x14ac:dyDescent="0.25">
      <c r="A12" s="4" t="s">
        <v>121</v>
      </c>
      <c r="B12" s="4">
        <v>1</v>
      </c>
      <c r="C12" s="4">
        <v>9754.6508393329568</v>
      </c>
      <c r="D12" s="4">
        <v>9754.6508393329568</v>
      </c>
      <c r="E12" s="4">
        <v>0.13789716739355504</v>
      </c>
      <c r="F12" s="4">
        <v>0.71239033258842066</v>
      </c>
    </row>
    <row r="13" spans="1:9" x14ac:dyDescent="0.25">
      <c r="A13" s="4" t="s">
        <v>122</v>
      </c>
      <c r="B13" s="4">
        <v>39</v>
      </c>
      <c r="C13" s="4">
        <v>2758804.9118387164</v>
      </c>
      <c r="D13" s="4">
        <v>70738.587483044015</v>
      </c>
      <c r="E13" s="4"/>
      <c r="F13" s="4"/>
    </row>
    <row r="14" spans="1:9" ht="15.75" thickBot="1" x14ac:dyDescent="0.3">
      <c r="A14" s="5" t="s">
        <v>109</v>
      </c>
      <c r="B14" s="5">
        <v>40</v>
      </c>
      <c r="C14" s="5">
        <v>2768559.5626780493</v>
      </c>
      <c r="D14" s="5"/>
      <c r="E14" s="5"/>
      <c r="F14" s="5"/>
    </row>
    <row r="15" spans="1:9" ht="15.75" thickBot="1" x14ac:dyDescent="0.3"/>
    <row r="16" spans="1:9" x14ac:dyDescent="0.25">
      <c r="A16" s="6"/>
      <c r="B16" s="6" t="s">
        <v>125</v>
      </c>
      <c r="C16" s="6" t="s">
        <v>75</v>
      </c>
      <c r="D16" s="6" t="s">
        <v>126</v>
      </c>
      <c r="E16" s="6" t="s">
        <v>105</v>
      </c>
      <c r="F16" s="6" t="s">
        <v>127</v>
      </c>
      <c r="G16" s="6" t="s">
        <v>128</v>
      </c>
      <c r="H16" s="6" t="s">
        <v>129</v>
      </c>
      <c r="I16" s="6" t="s">
        <v>130</v>
      </c>
    </row>
    <row r="17" spans="1:9" x14ac:dyDescent="0.25">
      <c r="A17" s="4" t="s">
        <v>123</v>
      </c>
      <c r="B17" s="4">
        <v>466.64280963926223</v>
      </c>
      <c r="C17" s="4">
        <v>79.205401488280643</v>
      </c>
      <c r="D17" s="4">
        <v>5.8915528596658584</v>
      </c>
      <c r="E17" s="4">
        <v>7.3264865979842055E-7</v>
      </c>
      <c r="F17" s="4">
        <v>306.43476323105097</v>
      </c>
      <c r="G17" s="4">
        <v>626.85085604747348</v>
      </c>
      <c r="H17" s="4">
        <v>306.43476323105097</v>
      </c>
      <c r="I17" s="4">
        <v>626.85085604747348</v>
      </c>
    </row>
    <row r="18" spans="1:9" ht="15.75" thickBot="1" x14ac:dyDescent="0.3">
      <c r="A18" s="5" t="s">
        <v>131</v>
      </c>
      <c r="B18" s="5">
        <v>-171.41656013518454</v>
      </c>
      <c r="C18" s="5">
        <v>461.60988799344619</v>
      </c>
      <c r="D18" s="5">
        <v>-0.3713450785907304</v>
      </c>
      <c r="E18" s="5">
        <v>0.71239033258842011</v>
      </c>
      <c r="F18" s="5">
        <v>-1105.1106891787138</v>
      </c>
      <c r="G18" s="5">
        <v>762.27756890834462</v>
      </c>
      <c r="H18" s="5">
        <v>-1105.1106891787138</v>
      </c>
      <c r="I18" s="5">
        <v>762.27756890834462</v>
      </c>
    </row>
    <row r="22" spans="1:9" x14ac:dyDescent="0.25">
      <c r="A22" t="s">
        <v>132</v>
      </c>
      <c r="F22" t="s">
        <v>137</v>
      </c>
    </row>
    <row r="23" spans="1:9" ht="15.75" thickBot="1" x14ac:dyDescent="0.3"/>
    <row r="24" spans="1:9" x14ac:dyDescent="0.25">
      <c r="A24" s="6" t="s">
        <v>133</v>
      </c>
      <c r="B24" s="6" t="s">
        <v>134</v>
      </c>
      <c r="C24" s="6" t="s">
        <v>135</v>
      </c>
      <c r="D24" s="6" t="s">
        <v>136</v>
      </c>
      <c r="F24" s="6" t="s">
        <v>138</v>
      </c>
      <c r="G24" s="6" t="s">
        <v>139</v>
      </c>
    </row>
    <row r="25" spans="1:9" x14ac:dyDescent="0.25">
      <c r="A25" s="4">
        <v>1</v>
      </c>
      <c r="B25" s="4">
        <v>444.35865682168821</v>
      </c>
      <c r="C25" s="4">
        <v>357.30134317831175</v>
      </c>
      <c r="D25" s="4">
        <v>1.3605175527421514</v>
      </c>
      <c r="F25" s="4">
        <v>1.2195121951219512</v>
      </c>
      <c r="G25" s="4">
        <v>6.58</v>
      </c>
    </row>
    <row r="26" spans="1:9" x14ac:dyDescent="0.25">
      <c r="A26" s="4">
        <v>2</v>
      </c>
      <c r="B26" s="4">
        <v>456.35781603115117</v>
      </c>
      <c r="C26" s="4">
        <v>-231.32781603115117</v>
      </c>
      <c r="D26" s="4">
        <v>-0.88084066896671076</v>
      </c>
      <c r="F26" s="4">
        <v>3.6585365853658534</v>
      </c>
      <c r="G26" s="4">
        <v>29.01</v>
      </c>
    </row>
    <row r="27" spans="1:9" x14ac:dyDescent="0.25">
      <c r="A27" s="4">
        <v>3</v>
      </c>
      <c r="B27" s="4">
        <v>425.50283520681796</v>
      </c>
      <c r="C27" s="4">
        <v>119.48716479318205</v>
      </c>
      <c r="D27" s="4">
        <v>0.45497837646636052</v>
      </c>
      <c r="F27" s="4">
        <v>6.0975609756097562</v>
      </c>
      <c r="G27" s="4">
        <v>42.59</v>
      </c>
    </row>
    <row r="28" spans="1:9" x14ac:dyDescent="0.25">
      <c r="A28" s="4">
        <v>4</v>
      </c>
      <c r="B28" s="4">
        <v>464.92864403791037</v>
      </c>
      <c r="C28" s="4">
        <v>-307.90864403791034</v>
      </c>
      <c r="D28" s="4">
        <v>-1.1724420376599363</v>
      </c>
      <c r="F28" s="4">
        <v>8.5365853658536572</v>
      </c>
      <c r="G28" s="4">
        <v>109.35</v>
      </c>
    </row>
    <row r="29" spans="1:9" x14ac:dyDescent="0.25">
      <c r="A29" s="4">
        <v>5</v>
      </c>
      <c r="B29" s="4">
        <v>442.64449122033636</v>
      </c>
      <c r="C29" s="4">
        <v>-287.13449122033637</v>
      </c>
      <c r="D29" s="4">
        <v>-1.093339061723033</v>
      </c>
      <c r="F29" s="4">
        <v>10.97560975609756</v>
      </c>
      <c r="G29" s="4">
        <v>137.79</v>
      </c>
    </row>
    <row r="30" spans="1:9" x14ac:dyDescent="0.25">
      <c r="A30" s="4">
        <v>6</v>
      </c>
      <c r="B30" s="4">
        <v>435.78782881492901</v>
      </c>
      <c r="C30" s="4">
        <v>-210.13782881492901</v>
      </c>
      <c r="D30" s="4">
        <v>-0.80015429568413199</v>
      </c>
      <c r="F30" s="4">
        <v>13.414634146341463</v>
      </c>
      <c r="G30" s="4">
        <v>144.08000000000001</v>
      </c>
    </row>
    <row r="31" spans="1:9" x14ac:dyDescent="0.25">
      <c r="A31" s="4">
        <v>7</v>
      </c>
      <c r="B31" s="4">
        <v>451.21531922709562</v>
      </c>
      <c r="C31" s="4">
        <v>180.74468077290442</v>
      </c>
      <c r="D31" s="4">
        <v>0.68823225955127021</v>
      </c>
      <c r="F31" s="4">
        <v>15.853658536585364</v>
      </c>
      <c r="G31" s="4">
        <v>155.51</v>
      </c>
    </row>
    <row r="32" spans="1:9" x14ac:dyDescent="0.25">
      <c r="A32" s="4">
        <v>8</v>
      </c>
      <c r="B32" s="4">
        <v>416.93200720005871</v>
      </c>
      <c r="C32" s="4">
        <v>105.9379927999413</v>
      </c>
      <c r="D32" s="4">
        <v>0.40338638927159942</v>
      </c>
      <c r="F32" s="4">
        <v>18.292682926829269</v>
      </c>
      <c r="G32" s="4">
        <v>157.02000000000001</v>
      </c>
    </row>
    <row r="33" spans="1:7" x14ac:dyDescent="0.25">
      <c r="A33" s="4">
        <v>9</v>
      </c>
      <c r="B33" s="4">
        <v>446.07282242304007</v>
      </c>
      <c r="C33" s="4">
        <v>-243.41282242304007</v>
      </c>
      <c r="D33" s="4">
        <v>-0.92685746581082618</v>
      </c>
      <c r="F33" s="4">
        <v>20.73170731707317</v>
      </c>
      <c r="G33" s="4">
        <v>189.87</v>
      </c>
    </row>
    <row r="34" spans="1:7" x14ac:dyDescent="0.25">
      <c r="A34" s="4">
        <v>10</v>
      </c>
      <c r="B34" s="4">
        <v>427.21700080816976</v>
      </c>
      <c r="C34" s="4">
        <v>-25.697000808169776</v>
      </c>
      <c r="D34" s="4">
        <v>-9.7847996711551075E-2</v>
      </c>
      <c r="F34" s="4">
        <v>23.170731707317071</v>
      </c>
      <c r="G34" s="4">
        <v>202.66</v>
      </c>
    </row>
    <row r="35" spans="1:7" x14ac:dyDescent="0.25">
      <c r="A35" s="4">
        <v>11</v>
      </c>
      <c r="B35" s="4">
        <v>456.35781603115117</v>
      </c>
      <c r="C35" s="4">
        <v>-110.04781603115117</v>
      </c>
      <c r="D35" s="4">
        <v>-0.41903560736574486</v>
      </c>
      <c r="F35" s="4">
        <v>25.609756097560975</v>
      </c>
      <c r="G35" s="4">
        <v>218.68</v>
      </c>
    </row>
    <row r="36" spans="1:7" x14ac:dyDescent="0.25">
      <c r="A36" s="4">
        <v>12</v>
      </c>
      <c r="B36" s="4">
        <v>458.07198163250303</v>
      </c>
      <c r="C36" s="4">
        <v>-23.921981632503048</v>
      </c>
      <c r="D36" s="4">
        <v>-9.1089150737262911E-2</v>
      </c>
      <c r="F36" s="4">
        <v>28.048780487804876</v>
      </c>
      <c r="G36" s="4">
        <v>225.03</v>
      </c>
    </row>
    <row r="37" spans="1:7" x14ac:dyDescent="0.25">
      <c r="A37" s="4">
        <v>13</v>
      </c>
      <c r="B37" s="4">
        <v>423.78866960546611</v>
      </c>
      <c r="C37" s="4">
        <v>-233.91866960546611</v>
      </c>
      <c r="D37" s="4">
        <v>-0.89070601605184918</v>
      </c>
      <c r="F37" s="4">
        <v>30.487804878048777</v>
      </c>
      <c r="G37" s="4">
        <v>225.65</v>
      </c>
    </row>
    <row r="38" spans="1:7" x14ac:dyDescent="0.25">
      <c r="A38" s="4">
        <v>14</v>
      </c>
      <c r="B38" s="4">
        <v>440.93032561898457</v>
      </c>
      <c r="C38" s="4">
        <v>118.16967438101545</v>
      </c>
      <c r="D38" s="4">
        <v>0.4499616899479793</v>
      </c>
      <c r="F38" s="4">
        <v>32.926829268292686</v>
      </c>
      <c r="G38" s="4">
        <v>316.88</v>
      </c>
    </row>
    <row r="39" spans="1:7" x14ac:dyDescent="0.25">
      <c r="A39" s="4">
        <v>15</v>
      </c>
      <c r="B39" s="4">
        <v>422.07450400411426</v>
      </c>
      <c r="C39" s="4">
        <v>-393.06450400411427</v>
      </c>
      <c r="D39" s="4">
        <v>-1.4966950650129709</v>
      </c>
      <c r="F39" s="4">
        <v>35.365853658536587</v>
      </c>
      <c r="G39" s="4">
        <v>327.64</v>
      </c>
    </row>
    <row r="40" spans="1:7" x14ac:dyDescent="0.25">
      <c r="A40" s="4">
        <v>16</v>
      </c>
      <c r="B40" s="4">
        <v>428.93116640952161</v>
      </c>
      <c r="C40" s="4">
        <v>112.56883359047839</v>
      </c>
      <c r="D40" s="4">
        <v>0.42863503570745182</v>
      </c>
      <c r="F40" s="4">
        <v>37.804878048780488</v>
      </c>
      <c r="G40" s="4">
        <v>330.09</v>
      </c>
    </row>
    <row r="41" spans="1:7" x14ac:dyDescent="0.25">
      <c r="A41" s="4">
        <v>17</v>
      </c>
      <c r="B41" s="4">
        <v>434.07366321357716</v>
      </c>
      <c r="C41" s="4">
        <v>-215.39366321357716</v>
      </c>
      <c r="D41" s="4">
        <v>-0.82016724858842105</v>
      </c>
      <c r="F41" s="4">
        <v>40.243902439024389</v>
      </c>
      <c r="G41" s="4">
        <v>346.31</v>
      </c>
    </row>
    <row r="42" spans="1:7" x14ac:dyDescent="0.25">
      <c r="A42" s="4">
        <v>18</v>
      </c>
      <c r="B42" s="4">
        <v>422.07450400411426</v>
      </c>
      <c r="C42" s="4">
        <v>16.995495995885733</v>
      </c>
      <c r="D42" s="4">
        <v>6.4714759855862308E-2</v>
      </c>
      <c r="F42" s="4">
        <v>42.68292682926829</v>
      </c>
      <c r="G42" s="4">
        <v>361.67</v>
      </c>
    </row>
    <row r="43" spans="1:7" x14ac:dyDescent="0.25">
      <c r="A43" s="4">
        <v>19</v>
      </c>
      <c r="B43" s="4">
        <v>446.07282242304007</v>
      </c>
      <c r="C43" s="4">
        <v>403.74717757695998</v>
      </c>
      <c r="D43" s="4">
        <v>1.5373721158653046</v>
      </c>
      <c r="F43" s="4">
        <v>45.121951219512191</v>
      </c>
      <c r="G43" s="4">
        <v>401.52</v>
      </c>
    </row>
    <row r="44" spans="1:7" x14ac:dyDescent="0.25">
      <c r="A44" s="4">
        <v>20</v>
      </c>
      <c r="B44" s="4">
        <v>418.64617280141056</v>
      </c>
      <c r="C44" s="4">
        <v>468.0438271985895</v>
      </c>
      <c r="D44" s="4">
        <v>1.7821982886823589</v>
      </c>
      <c r="F44" s="4">
        <v>47.560975609756099</v>
      </c>
      <c r="G44" s="4">
        <v>423.86</v>
      </c>
    </row>
    <row r="45" spans="1:7" x14ac:dyDescent="0.25">
      <c r="A45" s="4">
        <v>21</v>
      </c>
      <c r="B45" s="4">
        <v>459.78614723385482</v>
      </c>
      <c r="C45" s="4">
        <v>-321.9961472338548</v>
      </c>
      <c r="D45" s="4">
        <v>-1.22608386055907</v>
      </c>
      <c r="F45" s="4">
        <v>50</v>
      </c>
      <c r="G45" s="4">
        <v>434.15</v>
      </c>
    </row>
    <row r="46" spans="1:7" x14ac:dyDescent="0.25">
      <c r="A46" s="4">
        <v>22</v>
      </c>
      <c r="B46" s="4">
        <v>459.78614723385482</v>
      </c>
      <c r="C46" s="4">
        <v>-453.20614723385484</v>
      </c>
      <c r="D46" s="4">
        <v>-1.7256999731304978</v>
      </c>
      <c r="F46" s="4">
        <v>52.439024390243901</v>
      </c>
      <c r="G46" s="4">
        <v>439.07</v>
      </c>
    </row>
    <row r="47" spans="1:7" x14ac:dyDescent="0.25">
      <c r="A47" s="4">
        <v>23</v>
      </c>
      <c r="B47" s="4">
        <v>459.78614723385482</v>
      </c>
      <c r="C47" s="4">
        <v>428.41385276614523</v>
      </c>
      <c r="D47" s="4">
        <v>1.6312968805027774</v>
      </c>
      <c r="F47" s="4">
        <v>54.878048780487802</v>
      </c>
      <c r="G47" s="4">
        <v>511.03</v>
      </c>
    </row>
    <row r="48" spans="1:7" x14ac:dyDescent="0.25">
      <c r="A48" s="4">
        <v>24</v>
      </c>
      <c r="B48" s="4">
        <v>440.93032561898457</v>
      </c>
      <c r="C48" s="4">
        <v>-331.5803256189846</v>
      </c>
      <c r="D48" s="4">
        <v>-1.2625781060203127</v>
      </c>
      <c r="F48" s="4">
        <v>57.317073170731703</v>
      </c>
      <c r="G48" s="4">
        <v>513.82000000000005</v>
      </c>
    </row>
    <row r="49" spans="1:7" x14ac:dyDescent="0.25">
      <c r="A49" s="4">
        <v>25</v>
      </c>
      <c r="B49" s="4">
        <v>418.64617280141056</v>
      </c>
      <c r="C49" s="4">
        <v>-274.56617280141052</v>
      </c>
      <c r="D49" s="4">
        <v>-1.0454819289585822</v>
      </c>
      <c r="F49" s="4">
        <v>59.756097560975604</v>
      </c>
      <c r="G49" s="4">
        <v>522.87</v>
      </c>
    </row>
    <row r="50" spans="1:7" x14ac:dyDescent="0.25">
      <c r="A50" s="4">
        <v>26</v>
      </c>
      <c r="B50" s="4">
        <v>432.35949761222531</v>
      </c>
      <c r="C50" s="4">
        <v>144.23050238777472</v>
      </c>
      <c r="D50" s="4">
        <v>0.54919505309964189</v>
      </c>
      <c r="F50" s="4">
        <v>62.195121951219512</v>
      </c>
      <c r="G50" s="4">
        <v>541.5</v>
      </c>
    </row>
    <row r="51" spans="1:7" x14ac:dyDescent="0.25">
      <c r="A51" s="4">
        <v>27</v>
      </c>
      <c r="B51" s="4">
        <v>447.78698802439192</v>
      </c>
      <c r="C51" s="4">
        <v>506.62301197560805</v>
      </c>
      <c r="D51" s="4">
        <v>1.9290985426604763</v>
      </c>
      <c r="F51" s="4">
        <v>64.634146341463421</v>
      </c>
      <c r="G51" s="4">
        <v>544.99</v>
      </c>
    </row>
    <row r="52" spans="1:7" x14ac:dyDescent="0.25">
      <c r="A52" s="4">
        <v>28</v>
      </c>
      <c r="B52" s="4">
        <v>458.07198163250303</v>
      </c>
      <c r="C52" s="4">
        <v>55.748018367497025</v>
      </c>
      <c r="D52" s="4">
        <v>0.21227504169140621</v>
      </c>
      <c r="F52" s="4">
        <v>67.073170731707322</v>
      </c>
      <c r="G52" s="4">
        <v>559.1</v>
      </c>
    </row>
    <row r="53" spans="1:7" x14ac:dyDescent="0.25">
      <c r="A53" s="4">
        <v>29</v>
      </c>
      <c r="B53" s="4">
        <v>447.78698802439192</v>
      </c>
      <c r="C53" s="4">
        <v>320.10301197560807</v>
      </c>
      <c r="D53" s="4">
        <v>1.2188752569595187</v>
      </c>
      <c r="F53" s="4">
        <v>69.512195121951223</v>
      </c>
      <c r="G53" s="4">
        <v>560.67999999999995</v>
      </c>
    </row>
    <row r="54" spans="1:7" x14ac:dyDescent="0.25">
      <c r="A54" s="4">
        <v>30</v>
      </c>
      <c r="B54" s="4">
        <v>464.92864403791037</v>
      </c>
      <c r="C54" s="4">
        <v>188.86135596208959</v>
      </c>
      <c r="D54" s="4">
        <v>0.71913860590463996</v>
      </c>
      <c r="F54" s="4">
        <v>71.951219512195124</v>
      </c>
      <c r="G54" s="4">
        <v>576.59</v>
      </c>
    </row>
    <row r="55" spans="1:7" x14ac:dyDescent="0.25">
      <c r="A55" s="4">
        <v>31</v>
      </c>
      <c r="B55" s="4">
        <v>456.35781603115117</v>
      </c>
      <c r="C55" s="4">
        <v>-94.687816031151158</v>
      </c>
      <c r="D55" s="4">
        <v>-0.36054842278303667</v>
      </c>
      <c r="F55" s="4">
        <v>74.390243902439025</v>
      </c>
      <c r="G55" s="4">
        <v>623.45000000000005</v>
      </c>
    </row>
    <row r="56" spans="1:7" x14ac:dyDescent="0.25">
      <c r="A56" s="4">
        <v>32</v>
      </c>
      <c r="B56" s="4">
        <v>418.64617280141056</v>
      </c>
      <c r="C56" s="4">
        <v>-91.006172801410571</v>
      </c>
      <c r="D56" s="4">
        <v>-0.3465296111199172</v>
      </c>
      <c r="F56" s="4">
        <v>76.829268292682926</v>
      </c>
      <c r="G56" s="4">
        <v>629.44000000000005</v>
      </c>
    </row>
    <row r="57" spans="1:7" x14ac:dyDescent="0.25">
      <c r="A57" s="4">
        <v>33</v>
      </c>
      <c r="B57" s="4">
        <v>444.35865682168821</v>
      </c>
      <c r="C57" s="4">
        <v>179.09134317831183</v>
      </c>
      <c r="D57" s="4">
        <v>0.68193674776269808</v>
      </c>
      <c r="F57" s="4">
        <v>79.268292682926827</v>
      </c>
      <c r="G57" s="4">
        <v>631.96</v>
      </c>
    </row>
    <row r="58" spans="1:7" x14ac:dyDescent="0.25">
      <c r="A58" s="4">
        <v>34</v>
      </c>
      <c r="B58" s="4">
        <v>439.21616001763272</v>
      </c>
      <c r="C58" s="4">
        <v>-122.33616001763272</v>
      </c>
      <c r="D58" s="4">
        <v>-0.46582666484967433</v>
      </c>
      <c r="F58" s="4">
        <v>81.707317073170728</v>
      </c>
      <c r="G58" s="4">
        <v>653.79</v>
      </c>
    </row>
    <row r="59" spans="1:7" x14ac:dyDescent="0.25">
      <c r="A59" s="4">
        <v>35</v>
      </c>
      <c r="B59" s="4">
        <v>428.93116640952161</v>
      </c>
      <c r="C59" s="4">
        <v>131.74883359047834</v>
      </c>
      <c r="D59" s="4">
        <v>0.50166786124757801</v>
      </c>
      <c r="F59" s="4">
        <v>84.146341463414629</v>
      </c>
      <c r="G59" s="4">
        <v>767.89</v>
      </c>
    </row>
    <row r="60" spans="1:7" x14ac:dyDescent="0.25">
      <c r="A60" s="4">
        <v>36</v>
      </c>
      <c r="B60" s="4">
        <v>422.07450400411426</v>
      </c>
      <c r="C60" s="4">
        <v>1.7854959958857535</v>
      </c>
      <c r="D60" s="4">
        <v>6.7987391850948091E-3</v>
      </c>
      <c r="F60" s="4">
        <v>86.58536585365853</v>
      </c>
      <c r="G60" s="4">
        <v>801.66</v>
      </c>
    </row>
    <row r="61" spans="1:7" x14ac:dyDescent="0.25">
      <c r="A61" s="4">
        <v>37</v>
      </c>
      <c r="B61" s="4">
        <v>427.21700080816976</v>
      </c>
      <c r="C61" s="4">
        <v>202.2229991918303</v>
      </c>
      <c r="D61" s="4">
        <v>0.77001652868498738</v>
      </c>
      <c r="F61" s="4">
        <v>89.024390243902431</v>
      </c>
      <c r="G61" s="4">
        <v>849.82</v>
      </c>
    </row>
    <row r="62" spans="1:7" x14ac:dyDescent="0.25">
      <c r="A62" s="4">
        <v>38</v>
      </c>
      <c r="B62" s="4">
        <v>430.64533201087346</v>
      </c>
      <c r="C62" s="4">
        <v>-100.55533201087349</v>
      </c>
      <c r="D62" s="4">
        <v>-0.38289051198538104</v>
      </c>
      <c r="F62" s="4">
        <v>91.463414634146332</v>
      </c>
      <c r="G62" s="4">
        <v>862.67</v>
      </c>
    </row>
    <row r="63" spans="1:7" x14ac:dyDescent="0.25">
      <c r="A63" s="4">
        <v>39</v>
      </c>
      <c r="B63" s="4">
        <v>464.92864403791037</v>
      </c>
      <c r="C63" s="4">
        <v>397.74135596208959</v>
      </c>
      <c r="D63" s="4">
        <v>1.5145033920788629</v>
      </c>
      <c r="F63" s="4">
        <v>93.902439024390247</v>
      </c>
      <c r="G63" s="4">
        <v>886.69</v>
      </c>
    </row>
    <row r="64" spans="1:7" x14ac:dyDescent="0.25">
      <c r="A64" s="4">
        <v>40</v>
      </c>
      <c r="B64" s="4">
        <v>464.92864403791037</v>
      </c>
      <c r="C64" s="4">
        <v>46.101355962089599</v>
      </c>
      <c r="D64" s="4">
        <v>0.17554287211379324</v>
      </c>
      <c r="F64" s="4">
        <v>96.341463414634148</v>
      </c>
      <c r="G64" s="4">
        <v>888.2</v>
      </c>
    </row>
    <row r="65" spans="1:7" ht="15.75" thickBot="1" x14ac:dyDescent="0.3">
      <c r="A65" s="5">
        <v>41</v>
      </c>
      <c r="B65" s="5">
        <v>456.35781603115117</v>
      </c>
      <c r="C65" s="5">
        <v>-413.76781603115114</v>
      </c>
      <c r="D65" s="5">
        <v>-1.5755282962628867</v>
      </c>
      <c r="F65" s="5">
        <v>98.780487804878049</v>
      </c>
      <c r="G65" s="5">
        <v>954.41</v>
      </c>
    </row>
  </sheetData>
  <sortState xmlns:xlrd2="http://schemas.microsoft.com/office/spreadsheetml/2017/richdata2" ref="G25:G65">
    <sortCondition ref="G25"/>
  </sortState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61D7F-9C51-474E-A31C-A7B469823427}">
  <dimension ref="A1:G54"/>
  <sheetViews>
    <sheetView topLeftCell="A22" workbookViewId="0">
      <selection activeCell="H27" sqref="H27"/>
    </sheetView>
  </sheetViews>
  <sheetFormatPr defaultRowHeight="15" x14ac:dyDescent="0.25"/>
  <cols>
    <col min="1" max="1" width="11.140625" bestFit="1" customWidth="1"/>
    <col min="2" max="2" width="6.85546875" bestFit="1" customWidth="1"/>
    <col min="3" max="5" width="12" bestFit="1" customWidth="1"/>
  </cols>
  <sheetData>
    <row r="1" spans="1:5" x14ac:dyDescent="0.25">
      <c r="A1" t="s">
        <v>140</v>
      </c>
    </row>
    <row r="2" spans="1:5" ht="15.75" thickBot="1" x14ac:dyDescent="0.3"/>
    <row r="3" spans="1:5" x14ac:dyDescent="0.25">
      <c r="A3" s="6" t="s">
        <v>95</v>
      </c>
      <c r="B3" s="6" t="s">
        <v>86</v>
      </c>
      <c r="C3" s="6" t="s">
        <v>85</v>
      </c>
      <c r="D3" s="6" t="s">
        <v>97</v>
      </c>
      <c r="E3" s="6" t="s">
        <v>98</v>
      </c>
    </row>
    <row r="4" spans="1:5" x14ac:dyDescent="0.25">
      <c r="A4" s="4">
        <v>3400</v>
      </c>
      <c r="B4" s="4">
        <v>1</v>
      </c>
      <c r="C4" s="4">
        <v>3400</v>
      </c>
      <c r="D4" s="4">
        <v>3400</v>
      </c>
      <c r="E4" s="4" t="e">
        <v>#DIV/0!</v>
      </c>
    </row>
    <row r="5" spans="1:5" x14ac:dyDescent="0.25">
      <c r="A5" s="4">
        <v>6100</v>
      </c>
      <c r="B5" s="4">
        <v>1</v>
      </c>
      <c r="C5" s="4">
        <v>5290</v>
      </c>
      <c r="D5" s="4">
        <v>5290</v>
      </c>
      <c r="E5" s="4" t="e">
        <v>#DIV/0!</v>
      </c>
    </row>
    <row r="6" spans="1:5" x14ac:dyDescent="0.25">
      <c r="A6" s="4">
        <v>2800</v>
      </c>
      <c r="B6" s="4">
        <v>1</v>
      </c>
      <c r="C6" s="4">
        <v>3547</v>
      </c>
      <c r="D6" s="4">
        <v>3547</v>
      </c>
      <c r="E6" s="4" t="e">
        <v>#DIV/0!</v>
      </c>
    </row>
    <row r="7" spans="1:5" x14ac:dyDescent="0.25">
      <c r="A7" s="4">
        <v>7500</v>
      </c>
      <c r="B7" s="4">
        <v>1</v>
      </c>
      <c r="C7" s="4">
        <v>6314.1</v>
      </c>
      <c r="D7" s="4">
        <v>6314.1</v>
      </c>
      <c r="E7" s="4" t="e">
        <v>#DIV/0!</v>
      </c>
    </row>
    <row r="8" spans="1:5" x14ac:dyDescent="0.25">
      <c r="A8" s="4">
        <v>4100</v>
      </c>
      <c r="B8" s="4">
        <v>1</v>
      </c>
      <c r="C8" s="4">
        <v>4764.2299999999996</v>
      </c>
      <c r="D8" s="4">
        <v>4764.2299999999996</v>
      </c>
      <c r="E8" s="4" t="e">
        <v>#DIV/0!</v>
      </c>
    </row>
    <row r="9" spans="1:5" x14ac:dyDescent="0.25">
      <c r="A9" s="4">
        <v>3200</v>
      </c>
      <c r="B9" s="4">
        <v>1</v>
      </c>
      <c r="C9" s="4">
        <v>3669.2689999999998</v>
      </c>
      <c r="D9" s="4">
        <v>3669.2689999999998</v>
      </c>
      <c r="E9" s="4" t="e">
        <v>#DIV/0!</v>
      </c>
    </row>
    <row r="10" spans="1:5" x14ac:dyDescent="0.25">
      <c r="A10" s="4">
        <v>5600</v>
      </c>
      <c r="B10" s="4">
        <v>1</v>
      </c>
      <c r="C10" s="4">
        <v>5020.7806999999993</v>
      </c>
      <c r="D10" s="4">
        <v>5020.7806999999993</v>
      </c>
      <c r="E10" s="4" t="e">
        <v>#DIV/0!</v>
      </c>
    </row>
    <row r="11" spans="1:5" x14ac:dyDescent="0.25">
      <c r="A11" s="4">
        <v>4900</v>
      </c>
      <c r="B11" s="4">
        <v>1</v>
      </c>
      <c r="C11" s="4">
        <v>4936.2342099999996</v>
      </c>
      <c r="D11" s="4">
        <v>4936.2342099999996</v>
      </c>
      <c r="E11" s="4" t="e">
        <v>#DIV/0!</v>
      </c>
    </row>
    <row r="12" spans="1:5" x14ac:dyDescent="0.25">
      <c r="A12" s="4">
        <v>2200</v>
      </c>
      <c r="B12" s="4">
        <v>1</v>
      </c>
      <c r="C12" s="4">
        <v>3020.8702629999998</v>
      </c>
      <c r="D12" s="4">
        <v>3020.8702629999998</v>
      </c>
      <c r="E12" s="4" t="e">
        <v>#DIV/0!</v>
      </c>
    </row>
    <row r="13" spans="1:5" x14ac:dyDescent="0.25">
      <c r="A13" s="4">
        <v>6800</v>
      </c>
      <c r="B13" s="4">
        <v>1</v>
      </c>
      <c r="C13" s="4">
        <v>5666.2610789</v>
      </c>
      <c r="D13" s="4">
        <v>5666.2610789</v>
      </c>
      <c r="E13" s="4" t="e">
        <v>#DIV/0!</v>
      </c>
    </row>
    <row r="14" spans="1:5" x14ac:dyDescent="0.25">
      <c r="A14" s="4">
        <v>3700</v>
      </c>
      <c r="B14" s="4">
        <v>1</v>
      </c>
      <c r="C14" s="4">
        <v>4289.8783236700001</v>
      </c>
      <c r="D14" s="4">
        <v>4289.8783236700001</v>
      </c>
      <c r="E14" s="4" t="e">
        <v>#DIV/0!</v>
      </c>
    </row>
    <row r="15" spans="1:5" x14ac:dyDescent="0.25">
      <c r="A15" s="4">
        <v>8100</v>
      </c>
      <c r="B15" s="4">
        <v>1</v>
      </c>
      <c r="C15" s="4">
        <v>6956.963497101</v>
      </c>
      <c r="D15" s="4">
        <v>6956.963497101</v>
      </c>
      <c r="E15" s="4" t="e">
        <v>#DIV/0!</v>
      </c>
    </row>
    <row r="16" spans="1:5" x14ac:dyDescent="0.25">
      <c r="A16" s="4">
        <v>4600</v>
      </c>
      <c r="B16" s="4">
        <v>1</v>
      </c>
      <c r="C16" s="4">
        <v>5307.0890491302998</v>
      </c>
      <c r="D16" s="4">
        <v>5307.0890491302998</v>
      </c>
      <c r="E16" s="4" t="e">
        <v>#DIV/0!</v>
      </c>
    </row>
    <row r="17" spans="1:5" x14ac:dyDescent="0.25">
      <c r="A17" s="4">
        <v>2900</v>
      </c>
      <c r="B17" s="4">
        <v>1</v>
      </c>
      <c r="C17" s="4">
        <v>3622.1267147390899</v>
      </c>
      <c r="D17" s="4">
        <v>3622.1267147390899</v>
      </c>
      <c r="E17" s="4" t="e">
        <v>#DIV/0!</v>
      </c>
    </row>
    <row r="18" spans="1:5" x14ac:dyDescent="0.25">
      <c r="A18" s="4">
        <v>6200</v>
      </c>
      <c r="B18" s="4">
        <v>1</v>
      </c>
      <c r="C18" s="4">
        <v>5426.6380144217273</v>
      </c>
      <c r="D18" s="4">
        <v>5426.6380144217273</v>
      </c>
      <c r="E18" s="4" t="e">
        <v>#DIV/0!</v>
      </c>
    </row>
    <row r="19" spans="1:5" x14ac:dyDescent="0.25">
      <c r="A19" s="4">
        <v>5300</v>
      </c>
      <c r="B19" s="4">
        <v>1</v>
      </c>
      <c r="C19" s="4">
        <v>5337.991404326518</v>
      </c>
      <c r="D19" s="4">
        <v>5337.991404326518</v>
      </c>
      <c r="E19" s="4" t="e">
        <v>#DIV/0!</v>
      </c>
    </row>
    <row r="20" spans="1:5" x14ac:dyDescent="0.25">
      <c r="A20" s="4">
        <v>3100</v>
      </c>
      <c r="B20" s="4">
        <v>1</v>
      </c>
      <c r="C20" s="4">
        <v>3771.3974212979556</v>
      </c>
      <c r="D20" s="4">
        <v>3771.3974212979556</v>
      </c>
      <c r="E20" s="4" t="e">
        <v>#DIV/0!</v>
      </c>
    </row>
    <row r="21" spans="1:5" x14ac:dyDescent="0.25">
      <c r="A21" s="4">
        <v>7200</v>
      </c>
      <c r="B21" s="4">
        <v>1</v>
      </c>
      <c r="C21" s="4">
        <v>6171.4192263893865</v>
      </c>
      <c r="D21" s="4">
        <v>6171.4192263893865</v>
      </c>
      <c r="E21" s="4" t="e">
        <v>#DIV/0!</v>
      </c>
    </row>
    <row r="22" spans="1:5" x14ac:dyDescent="0.25">
      <c r="A22" s="4">
        <v>4300</v>
      </c>
      <c r="B22" s="4">
        <v>1</v>
      </c>
      <c r="C22" s="4">
        <v>4861.4257679168159</v>
      </c>
      <c r="D22" s="4">
        <v>4861.4257679168159</v>
      </c>
      <c r="E22" s="4" t="e">
        <v>#DIV/0!</v>
      </c>
    </row>
    <row r="23" spans="1:5" x14ac:dyDescent="0.25">
      <c r="A23" s="4">
        <v>6700</v>
      </c>
      <c r="B23" s="4">
        <v>1</v>
      </c>
      <c r="C23" s="4">
        <v>6148.427730375045</v>
      </c>
      <c r="D23" s="4">
        <v>6148.427730375045</v>
      </c>
      <c r="E23" s="4" t="e">
        <v>#DIV/0!</v>
      </c>
    </row>
    <row r="24" spans="1:5" x14ac:dyDescent="0.25">
      <c r="A24" s="4">
        <v>2500</v>
      </c>
      <c r="B24" s="4">
        <v>1</v>
      </c>
      <c r="C24" s="4">
        <v>3594.5283191125136</v>
      </c>
      <c r="D24" s="4">
        <v>3594.5283191125136</v>
      </c>
      <c r="E24" s="4" t="e">
        <v>#DIV/0!</v>
      </c>
    </row>
    <row r="25" spans="1:5" x14ac:dyDescent="0.25">
      <c r="A25" s="4">
        <v>5800</v>
      </c>
      <c r="B25" s="4">
        <v>1</v>
      </c>
      <c r="C25" s="4">
        <v>5138.3584957337534</v>
      </c>
      <c r="D25" s="4">
        <v>5138.3584957337534</v>
      </c>
      <c r="E25" s="4" t="e">
        <v>#DIV/0!</v>
      </c>
    </row>
    <row r="26" spans="1:5" x14ac:dyDescent="0.25">
      <c r="A26" s="4">
        <v>3900</v>
      </c>
      <c r="B26" s="4">
        <v>1</v>
      </c>
      <c r="C26" s="4">
        <v>4271.5075487201257</v>
      </c>
      <c r="D26" s="4">
        <v>4271.5075487201257</v>
      </c>
      <c r="E26" s="4" t="e">
        <v>#DIV/0!</v>
      </c>
    </row>
    <row r="27" spans="1:5" x14ac:dyDescent="0.25">
      <c r="A27" s="4">
        <v>8400</v>
      </c>
      <c r="B27" s="4">
        <v>1</v>
      </c>
      <c r="C27" s="4">
        <v>7161.4522646160376</v>
      </c>
      <c r="D27" s="4">
        <v>7161.4522646160376</v>
      </c>
      <c r="E27" s="4" t="e">
        <v>#DIV/0!</v>
      </c>
    </row>
    <row r="28" spans="1:5" x14ac:dyDescent="0.25">
      <c r="A28" s="4">
        <v>4700</v>
      </c>
      <c r="B28" s="4">
        <v>1</v>
      </c>
      <c r="C28" s="4">
        <v>5438.435679384811</v>
      </c>
      <c r="D28" s="4">
        <v>5438.435679384811</v>
      </c>
      <c r="E28" s="4" t="e">
        <v>#DIV/0!</v>
      </c>
    </row>
    <row r="29" spans="1:5" x14ac:dyDescent="0.25">
      <c r="A29" s="4">
        <v>3400</v>
      </c>
      <c r="B29" s="4">
        <v>1</v>
      </c>
      <c r="C29" s="4">
        <v>4011.5307038154433</v>
      </c>
      <c r="D29" s="4">
        <v>4011.5307038154433</v>
      </c>
      <c r="E29" s="4" t="e">
        <v>#DIV/0!</v>
      </c>
    </row>
    <row r="30" spans="1:5" x14ac:dyDescent="0.25">
      <c r="A30" s="4">
        <v>6500</v>
      </c>
      <c r="B30" s="4">
        <v>1</v>
      </c>
      <c r="C30" s="4">
        <v>5753.4592111446327</v>
      </c>
      <c r="D30" s="4">
        <v>5753.4592111446327</v>
      </c>
      <c r="E30" s="4" t="e">
        <v>#DIV/0!</v>
      </c>
    </row>
    <row r="31" spans="1:5" x14ac:dyDescent="0.25">
      <c r="A31" s="4">
        <v>5600</v>
      </c>
      <c r="B31" s="4">
        <v>1</v>
      </c>
      <c r="C31" s="4">
        <v>5646.0377633433891</v>
      </c>
      <c r="D31" s="4">
        <v>5646.0377633433891</v>
      </c>
      <c r="E31" s="4" t="e">
        <v>#DIV/0!</v>
      </c>
    </row>
    <row r="32" spans="1:5" x14ac:dyDescent="0.25">
      <c r="A32" s="4">
        <v>2800</v>
      </c>
      <c r="B32" s="4">
        <v>1</v>
      </c>
      <c r="C32" s="4">
        <v>3653.8113290030165</v>
      </c>
      <c r="D32" s="4">
        <v>3653.8113290030165</v>
      </c>
      <c r="E32" s="4" t="e">
        <v>#DIV/0!</v>
      </c>
    </row>
    <row r="33" spans="1:5" x14ac:dyDescent="0.25">
      <c r="A33" s="4">
        <v>7700</v>
      </c>
      <c r="B33" s="4">
        <v>1</v>
      </c>
      <c r="C33" s="4">
        <v>6486.143398700905</v>
      </c>
      <c r="D33" s="4">
        <v>6486.143398700905</v>
      </c>
      <c r="E33" s="4" t="e">
        <v>#DIV/0!</v>
      </c>
    </row>
    <row r="34" spans="1:5" x14ac:dyDescent="0.25">
      <c r="A34" s="4">
        <v>4500</v>
      </c>
      <c r="B34" s="4">
        <v>1</v>
      </c>
      <c r="C34" s="4">
        <v>5095.8430196102709</v>
      </c>
      <c r="D34" s="4">
        <v>5095.8430196102709</v>
      </c>
      <c r="E34" s="4" t="e">
        <v>#DIV/0!</v>
      </c>
    </row>
    <row r="35" spans="1:5" x14ac:dyDescent="0.25">
      <c r="A35" s="4">
        <v>6100</v>
      </c>
      <c r="B35" s="4">
        <v>1</v>
      </c>
      <c r="C35" s="4">
        <v>5798.7529058830814</v>
      </c>
      <c r="D35" s="4">
        <v>5798.7529058830814</v>
      </c>
      <c r="E35" s="4" t="e">
        <v>#DIV/0!</v>
      </c>
    </row>
    <row r="36" spans="1:5" x14ac:dyDescent="0.25">
      <c r="A36" s="4">
        <v>3600</v>
      </c>
      <c r="B36" s="4">
        <v>1</v>
      </c>
      <c r="C36" s="4">
        <v>4259.6258717649243</v>
      </c>
      <c r="D36" s="4">
        <v>4259.6258717649243</v>
      </c>
      <c r="E36" s="4" t="e">
        <v>#DIV/0!</v>
      </c>
    </row>
    <row r="37" spans="1:5" x14ac:dyDescent="0.25">
      <c r="A37" s="4">
        <v>4900</v>
      </c>
      <c r="B37" s="4">
        <v>1</v>
      </c>
      <c r="C37" s="4">
        <v>4707.8877615294768</v>
      </c>
      <c r="D37" s="4">
        <v>4707.8877615294768</v>
      </c>
      <c r="E37" s="4" t="e">
        <v>#DIV/0!</v>
      </c>
    </row>
    <row r="38" spans="1:5" x14ac:dyDescent="0.25">
      <c r="A38" s="4">
        <v>7000</v>
      </c>
      <c r="B38" s="4">
        <v>1</v>
      </c>
      <c r="C38" s="4">
        <v>6312.3663284588429</v>
      </c>
      <c r="D38" s="4">
        <v>6312.3663284588429</v>
      </c>
      <c r="E38" s="4" t="e">
        <v>#DIV/0!</v>
      </c>
    </row>
    <row r="39" spans="1:5" x14ac:dyDescent="0.25">
      <c r="A39" s="4">
        <v>3200</v>
      </c>
      <c r="B39" s="4">
        <v>1</v>
      </c>
      <c r="C39" s="4">
        <v>4133.7098985376524</v>
      </c>
      <c r="D39" s="4">
        <v>4133.7098985376524</v>
      </c>
      <c r="E39" s="4" t="e">
        <v>#DIV/0!</v>
      </c>
    </row>
    <row r="40" spans="1:5" x14ac:dyDescent="0.25">
      <c r="A40" s="4">
        <v>5400</v>
      </c>
      <c r="B40" s="4">
        <v>1</v>
      </c>
      <c r="C40" s="4">
        <v>5020.1129695612954</v>
      </c>
      <c r="D40" s="4">
        <v>5020.1129695612954</v>
      </c>
      <c r="E40" s="4" t="e">
        <v>#DIV/0!</v>
      </c>
    </row>
    <row r="41" spans="1:5" x14ac:dyDescent="0.25">
      <c r="A41" s="4">
        <v>2600</v>
      </c>
      <c r="B41" s="4">
        <v>1</v>
      </c>
      <c r="C41" s="4">
        <v>3326.0338908683884</v>
      </c>
      <c r="D41" s="4">
        <v>3326.0338908683884</v>
      </c>
      <c r="E41" s="4" t="e">
        <v>#DIV/0!</v>
      </c>
    </row>
    <row r="42" spans="1:5" x14ac:dyDescent="0.25">
      <c r="A42" s="4">
        <v>5900</v>
      </c>
      <c r="B42" s="4">
        <v>1</v>
      </c>
      <c r="C42" s="4">
        <v>5127.8101672605162</v>
      </c>
      <c r="D42" s="4">
        <v>5127.8101672605162</v>
      </c>
      <c r="E42" s="4" t="e">
        <v>#DIV/0!</v>
      </c>
    </row>
    <row r="43" spans="1:5" x14ac:dyDescent="0.25">
      <c r="A43" s="4">
        <v>7300</v>
      </c>
      <c r="B43" s="4">
        <v>1</v>
      </c>
      <c r="C43" s="4">
        <v>1700</v>
      </c>
      <c r="D43" s="4">
        <v>1700</v>
      </c>
      <c r="E43" s="4" t="e">
        <v>#DIV/0!</v>
      </c>
    </row>
    <row r="44" spans="1:5" x14ac:dyDescent="0.25">
      <c r="A44" s="4"/>
      <c r="B44" s="4"/>
      <c r="C44" s="4"/>
      <c r="D44" s="4"/>
      <c r="E44" s="4"/>
    </row>
    <row r="45" spans="1:5" ht="15.75" thickBot="1" x14ac:dyDescent="0.3">
      <c r="A45" s="5"/>
      <c r="B45" s="5">
        <v>40</v>
      </c>
      <c r="C45" s="5">
        <v>194159.50992831695</v>
      </c>
      <c r="D45" s="5">
        <v>4853.9877482079237</v>
      </c>
      <c r="E45" s="5">
        <v>1371760.1870027627</v>
      </c>
    </row>
    <row r="48" spans="1:5" ht="15.75" thickBot="1" x14ac:dyDescent="0.3">
      <c r="A48" t="s">
        <v>99</v>
      </c>
    </row>
    <row r="49" spans="1:7" x14ac:dyDescent="0.25">
      <c r="A49" s="6" t="s">
        <v>100</v>
      </c>
      <c r="B49" s="6" t="s">
        <v>101</v>
      </c>
      <c r="C49" s="6" t="s">
        <v>102</v>
      </c>
      <c r="D49" s="6" t="s">
        <v>103</v>
      </c>
      <c r="E49" s="6" t="s">
        <v>104</v>
      </c>
      <c r="F49" s="6" t="s">
        <v>105</v>
      </c>
      <c r="G49" s="6" t="s">
        <v>106</v>
      </c>
    </row>
    <row r="50" spans="1:7" x14ac:dyDescent="0.25">
      <c r="A50" s="4" t="s">
        <v>141</v>
      </c>
      <c r="B50" s="4">
        <v>53498647.293108322</v>
      </c>
      <c r="C50" s="4">
        <v>39</v>
      </c>
      <c r="D50" s="4">
        <v>1371760.1870027776</v>
      </c>
      <c r="E50" s="4">
        <v>65535</v>
      </c>
      <c r="F50" s="4" t="e">
        <v>#NUM!</v>
      </c>
      <c r="G50" s="4" t="e">
        <v>#NUM!</v>
      </c>
    </row>
    <row r="51" spans="1:7" x14ac:dyDescent="0.25">
      <c r="A51" s="4" t="s">
        <v>142</v>
      </c>
      <c r="B51" s="4">
        <v>0</v>
      </c>
      <c r="C51" s="4">
        <v>0</v>
      </c>
      <c r="D51" s="4">
        <v>65535</v>
      </c>
      <c r="E51" s="4">
        <v>65535</v>
      </c>
      <c r="F51" s="4" t="e">
        <v>#NUM!</v>
      </c>
      <c r="G51" s="4" t="e">
        <v>#NUM!</v>
      </c>
    </row>
    <row r="52" spans="1:7" x14ac:dyDescent="0.25">
      <c r="A52" s="4" t="s">
        <v>143</v>
      </c>
      <c r="B52" s="4">
        <v>0</v>
      </c>
      <c r="C52" s="4">
        <v>0</v>
      </c>
      <c r="D52" s="4">
        <v>65535</v>
      </c>
      <c r="E52" s="4"/>
      <c r="F52" s="4"/>
      <c r="G52" s="4"/>
    </row>
    <row r="53" spans="1:7" x14ac:dyDescent="0.25">
      <c r="A53" s="4"/>
      <c r="B53" s="4"/>
      <c r="C53" s="4"/>
      <c r="D53" s="4"/>
      <c r="E53" s="4"/>
      <c r="F53" s="4"/>
      <c r="G53" s="4"/>
    </row>
    <row r="54" spans="1:7" ht="15.75" thickBot="1" x14ac:dyDescent="0.3">
      <c r="A54" s="5" t="s">
        <v>109</v>
      </c>
      <c r="B54" s="5">
        <v>53498647.293108322</v>
      </c>
      <c r="C54" s="5">
        <v>39</v>
      </c>
      <c r="D54" s="5"/>
      <c r="E54" s="5"/>
      <c r="F54" s="5"/>
      <c r="G54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7E211-E9E1-4B8E-8CF3-64B484B1D023}">
  <dimension ref="A1:AU73"/>
  <sheetViews>
    <sheetView tabSelected="1" topLeftCell="AC35" zoomScale="130" zoomScaleNormal="130" workbookViewId="0">
      <selection activeCell="AF43" sqref="AF43"/>
    </sheetView>
  </sheetViews>
  <sheetFormatPr defaultRowHeight="15" x14ac:dyDescent="0.25"/>
  <cols>
    <col min="1" max="1" width="17.140625" bestFit="1" customWidth="1"/>
    <col min="2" max="2" width="14.85546875" style="10" bestFit="1" customWidth="1"/>
    <col min="3" max="3" width="12.7109375" style="10" bestFit="1" customWidth="1"/>
    <col min="4" max="4" width="21" bestFit="1" customWidth="1"/>
    <col min="5" max="5" width="11.42578125" style="10" bestFit="1" customWidth="1"/>
    <col min="6" max="6" width="7" bestFit="1" customWidth="1"/>
    <col min="7" max="7" width="11.28515625" bestFit="1" customWidth="1"/>
    <col min="8" max="8" width="20.28515625" bestFit="1" customWidth="1"/>
    <col min="9" max="9" width="21" bestFit="1" customWidth="1"/>
    <col min="10" max="10" width="22.42578125" bestFit="1" customWidth="1"/>
    <col min="11" max="11" width="16.85546875" style="10" bestFit="1" customWidth="1"/>
    <col min="12" max="12" width="21" bestFit="1" customWidth="1"/>
    <col min="13" max="13" width="28.42578125" bestFit="1" customWidth="1"/>
    <col min="14" max="14" width="27.5703125" style="10" bestFit="1" customWidth="1"/>
    <col min="15" max="15" width="9.140625" style="10"/>
    <col min="16" max="16" width="21" style="10" bestFit="1" customWidth="1"/>
    <col min="17" max="17" width="7.7109375" style="10" bestFit="1" customWidth="1"/>
    <col min="18" max="18" width="12.28515625" bestFit="1" customWidth="1"/>
    <col min="19" max="19" width="9.140625" style="10"/>
  </cols>
  <sheetData>
    <row r="1" spans="1:41" ht="18.75" x14ac:dyDescent="0.3">
      <c r="A1" s="3" t="s">
        <v>1</v>
      </c>
      <c r="B1" s="8" t="s">
        <v>2</v>
      </c>
      <c r="C1" s="8" t="s">
        <v>3</v>
      </c>
      <c r="D1" s="8" t="s">
        <v>4</v>
      </c>
      <c r="E1" s="8" t="s">
        <v>5</v>
      </c>
      <c r="F1" s="8" t="s">
        <v>6</v>
      </c>
      <c r="G1" s="8" t="s">
        <v>7</v>
      </c>
      <c r="H1" s="3" t="s">
        <v>8</v>
      </c>
      <c r="I1" s="3" t="s">
        <v>9</v>
      </c>
      <c r="J1" s="3" t="s">
        <v>10</v>
      </c>
      <c r="K1" s="8" t="s">
        <v>11</v>
      </c>
      <c r="L1" s="3" t="s">
        <v>12</v>
      </c>
      <c r="M1" s="3" t="s">
        <v>13</v>
      </c>
      <c r="N1" s="8" t="s">
        <v>14</v>
      </c>
      <c r="O1" s="17" t="s">
        <v>87</v>
      </c>
      <c r="Q1" s="11" t="s">
        <v>88</v>
      </c>
      <c r="R1" s="11" t="s">
        <v>89</v>
      </c>
    </row>
    <row r="2" spans="1:41" x14ac:dyDescent="0.25">
      <c r="A2" s="1">
        <v>1</v>
      </c>
      <c r="B2" s="9">
        <v>8270</v>
      </c>
      <c r="C2" s="9">
        <v>295</v>
      </c>
      <c r="D2" s="9" t="s">
        <v>15</v>
      </c>
      <c r="E2" s="9">
        <v>1</v>
      </c>
      <c r="F2" s="9">
        <v>801.66</v>
      </c>
      <c r="G2" s="9">
        <v>0.13</v>
      </c>
      <c r="H2" s="2">
        <v>45282.440972222219</v>
      </c>
      <c r="I2" s="1" t="s">
        <v>16</v>
      </c>
      <c r="J2" s="1" t="s">
        <v>17</v>
      </c>
      <c r="K2" s="9">
        <v>46</v>
      </c>
      <c r="L2" s="1" t="s">
        <v>18</v>
      </c>
      <c r="M2" s="1" t="s">
        <v>19</v>
      </c>
      <c r="N2" s="9">
        <v>83.36</v>
      </c>
      <c r="O2" s="18" t="s">
        <v>90</v>
      </c>
      <c r="Q2" s="12">
        <v>5200</v>
      </c>
    </row>
    <row r="3" spans="1:41" x14ac:dyDescent="0.25">
      <c r="A3" s="1">
        <v>2</v>
      </c>
      <c r="B3" s="9">
        <v>1860</v>
      </c>
      <c r="C3" s="9">
        <v>546</v>
      </c>
      <c r="D3" s="9" t="s">
        <v>20</v>
      </c>
      <c r="E3" s="9">
        <v>1</v>
      </c>
      <c r="F3" s="9">
        <v>225.03</v>
      </c>
      <c r="G3" s="9">
        <v>0.06</v>
      </c>
      <c r="H3" s="2">
        <v>45417.444444444445</v>
      </c>
      <c r="I3" s="1" t="s">
        <v>21</v>
      </c>
      <c r="J3" s="1" t="s">
        <v>22</v>
      </c>
      <c r="K3" s="9">
        <v>59</v>
      </c>
      <c r="L3" s="1" t="s">
        <v>23</v>
      </c>
      <c r="M3" s="1" t="s">
        <v>24</v>
      </c>
      <c r="N3" s="9">
        <v>58.88</v>
      </c>
      <c r="O3" s="18" t="s">
        <v>91</v>
      </c>
      <c r="Q3" s="12">
        <v>3400</v>
      </c>
      <c r="R3" s="10">
        <f>Q3</f>
        <v>3400</v>
      </c>
    </row>
    <row r="4" spans="1:41" x14ac:dyDescent="0.25">
      <c r="A4" s="1">
        <v>3</v>
      </c>
      <c r="B4" s="9">
        <v>6390</v>
      </c>
      <c r="C4" s="9">
        <v>430</v>
      </c>
      <c r="D4" s="9" t="s">
        <v>25</v>
      </c>
      <c r="E4" s="9">
        <v>2</v>
      </c>
      <c r="F4" s="9">
        <v>544.99</v>
      </c>
      <c r="G4" s="9">
        <v>0.24</v>
      </c>
      <c r="H4" s="2">
        <v>45264.223611111112</v>
      </c>
      <c r="I4" s="1" t="s">
        <v>21</v>
      </c>
      <c r="J4" s="1" t="s">
        <v>26</v>
      </c>
      <c r="K4" s="9">
        <v>61</v>
      </c>
      <c r="L4" s="1" t="s">
        <v>18</v>
      </c>
      <c r="M4" s="1" t="s">
        <v>24</v>
      </c>
      <c r="N4" s="9">
        <v>53.99</v>
      </c>
      <c r="O4" s="18" t="s">
        <v>92</v>
      </c>
      <c r="Q4" s="12">
        <v>6100</v>
      </c>
      <c r="R4">
        <f t="shared" ref="R4:R41" si="0">0.7*Q4+0.3*R3</f>
        <v>5290</v>
      </c>
      <c r="S4" s="10" t="s">
        <v>110</v>
      </c>
    </row>
    <row r="5" spans="1:41" x14ac:dyDescent="0.25">
      <c r="A5" s="1">
        <v>4</v>
      </c>
      <c r="B5" s="9">
        <v>6191</v>
      </c>
      <c r="C5" s="9">
        <v>807</v>
      </c>
      <c r="D5" s="9" t="s">
        <v>20</v>
      </c>
      <c r="E5" s="9">
        <v>2</v>
      </c>
      <c r="F5" s="9">
        <v>157.02000000000001</v>
      </c>
      <c r="G5" s="9">
        <v>0.01</v>
      </c>
      <c r="H5" s="2">
        <v>45293.46597222222</v>
      </c>
      <c r="I5" s="1" t="s">
        <v>27</v>
      </c>
      <c r="J5" s="1" t="s">
        <v>28</v>
      </c>
      <c r="K5" s="9">
        <v>69</v>
      </c>
      <c r="L5" s="1" t="s">
        <v>18</v>
      </c>
      <c r="M5" s="1" t="s">
        <v>29</v>
      </c>
      <c r="N5" s="9">
        <v>11.73</v>
      </c>
      <c r="O5" s="18" t="s">
        <v>93</v>
      </c>
      <c r="Q5" s="12">
        <v>2800</v>
      </c>
      <c r="R5">
        <f t="shared" si="0"/>
        <v>3547</v>
      </c>
      <c r="S5" s="10">
        <v>0.01</v>
      </c>
    </row>
    <row r="6" spans="1:41" x14ac:dyDescent="0.25">
      <c r="A6" s="1">
        <v>5</v>
      </c>
      <c r="B6" s="9">
        <v>6734</v>
      </c>
      <c r="C6" s="9">
        <v>319</v>
      </c>
      <c r="D6" s="9" t="s">
        <v>0</v>
      </c>
      <c r="E6" s="9">
        <v>2</v>
      </c>
      <c r="F6" s="9">
        <v>155.51</v>
      </c>
      <c r="G6" s="9">
        <v>0.14000000000000001</v>
      </c>
      <c r="H6" s="2">
        <v>45461.042361111111</v>
      </c>
      <c r="I6" s="1" t="s">
        <v>21</v>
      </c>
      <c r="J6" s="1" t="s">
        <v>30</v>
      </c>
      <c r="K6" s="9">
        <v>29</v>
      </c>
      <c r="L6" s="1" t="s">
        <v>23</v>
      </c>
      <c r="M6" s="1" t="s">
        <v>24</v>
      </c>
      <c r="N6" s="9">
        <v>34.79</v>
      </c>
      <c r="O6" s="18" t="s">
        <v>90</v>
      </c>
      <c r="Q6" s="12">
        <v>7500</v>
      </c>
      <c r="R6">
        <f t="shared" si="0"/>
        <v>6314.1</v>
      </c>
      <c r="S6" s="10">
        <v>0.05</v>
      </c>
    </row>
    <row r="7" spans="1:41" x14ac:dyDescent="0.25">
      <c r="A7" s="1">
        <v>6</v>
      </c>
      <c r="B7" s="9">
        <v>7265</v>
      </c>
      <c r="C7" s="9">
        <v>282</v>
      </c>
      <c r="D7" s="9" t="s">
        <v>31</v>
      </c>
      <c r="E7" s="9">
        <v>3</v>
      </c>
      <c r="F7" s="9">
        <v>225.65</v>
      </c>
      <c r="G7" s="9">
        <v>0.18</v>
      </c>
      <c r="H7" s="2">
        <v>45357.260416666664</v>
      </c>
      <c r="I7" s="1" t="s">
        <v>27</v>
      </c>
      <c r="J7" s="1" t="s">
        <v>32</v>
      </c>
      <c r="K7" s="9">
        <v>60</v>
      </c>
      <c r="L7" s="1" t="s">
        <v>33</v>
      </c>
      <c r="M7" s="1" t="s">
        <v>24</v>
      </c>
      <c r="N7" s="9">
        <v>25.78</v>
      </c>
      <c r="O7" s="18" t="s">
        <v>91</v>
      </c>
      <c r="Q7" s="12">
        <v>4100</v>
      </c>
      <c r="R7">
        <f t="shared" si="0"/>
        <v>4764.2299999999996</v>
      </c>
      <c r="S7" s="10">
        <v>0.1</v>
      </c>
    </row>
    <row r="8" spans="1:41" x14ac:dyDescent="0.25">
      <c r="A8" s="1">
        <v>7</v>
      </c>
      <c r="B8" s="9">
        <v>1466</v>
      </c>
      <c r="C8" s="9">
        <v>276</v>
      </c>
      <c r="D8" s="9" t="s">
        <v>20</v>
      </c>
      <c r="E8" s="9">
        <v>3</v>
      </c>
      <c r="F8" s="9">
        <v>631.96</v>
      </c>
      <c r="G8" s="9">
        <v>0.09</v>
      </c>
      <c r="H8" s="2">
        <v>45214.5625</v>
      </c>
      <c r="I8" s="1" t="s">
        <v>34</v>
      </c>
      <c r="J8" s="1" t="s">
        <v>35</v>
      </c>
      <c r="K8" s="9">
        <v>69</v>
      </c>
      <c r="L8" s="1" t="s">
        <v>33</v>
      </c>
      <c r="M8" s="1" t="s">
        <v>29</v>
      </c>
      <c r="N8" s="9">
        <v>68.36</v>
      </c>
      <c r="O8" s="18" t="s">
        <v>92</v>
      </c>
      <c r="Q8" s="12">
        <v>3200</v>
      </c>
      <c r="R8">
        <f t="shared" si="0"/>
        <v>3669.2689999999998</v>
      </c>
      <c r="S8" s="10">
        <v>0.15</v>
      </c>
    </row>
    <row r="9" spans="1:41" x14ac:dyDescent="0.25">
      <c r="A9" s="1">
        <v>8</v>
      </c>
      <c r="B9" s="9">
        <v>5426</v>
      </c>
      <c r="C9" s="9">
        <v>574</v>
      </c>
      <c r="D9" s="9" t="s">
        <v>36</v>
      </c>
      <c r="E9" s="9">
        <v>1</v>
      </c>
      <c r="F9" s="9">
        <v>522.87</v>
      </c>
      <c r="G9" s="9">
        <v>0.28999999999999998</v>
      </c>
      <c r="H9" s="2">
        <v>45428.073611111111</v>
      </c>
      <c r="I9" s="1" t="s">
        <v>16</v>
      </c>
      <c r="J9" s="1" t="s">
        <v>37</v>
      </c>
      <c r="K9" s="9">
        <v>45</v>
      </c>
      <c r="L9" s="1" t="s">
        <v>18</v>
      </c>
      <c r="M9" s="1" t="s">
        <v>24</v>
      </c>
      <c r="N9" s="9">
        <v>19.23</v>
      </c>
      <c r="O9" s="18" t="s">
        <v>93</v>
      </c>
      <c r="Q9" s="12">
        <v>5600</v>
      </c>
      <c r="R9">
        <f t="shared" si="0"/>
        <v>5020.7806999999993</v>
      </c>
      <c r="S9" s="10">
        <v>0.2</v>
      </c>
    </row>
    <row r="10" spans="1:41" x14ac:dyDescent="0.25">
      <c r="A10" s="1">
        <v>9</v>
      </c>
      <c r="B10" s="9">
        <v>6578</v>
      </c>
      <c r="C10" s="9">
        <v>948</v>
      </c>
      <c r="D10" s="9" t="s">
        <v>31</v>
      </c>
      <c r="E10" s="9">
        <v>4</v>
      </c>
      <c r="F10" s="9">
        <v>202.66</v>
      </c>
      <c r="G10" s="9">
        <v>0.12</v>
      </c>
      <c r="H10" s="2">
        <v>45508.717361111114</v>
      </c>
      <c r="I10" s="1" t="s">
        <v>16</v>
      </c>
      <c r="J10" s="1" t="s">
        <v>38</v>
      </c>
      <c r="K10" s="9">
        <v>37</v>
      </c>
      <c r="L10" s="1" t="s">
        <v>33</v>
      </c>
      <c r="M10" s="1" t="s">
        <v>29</v>
      </c>
      <c r="N10" s="9">
        <v>28.61</v>
      </c>
      <c r="O10" s="18" t="s">
        <v>90</v>
      </c>
      <c r="Q10" s="12">
        <v>4900</v>
      </c>
      <c r="R10">
        <f t="shared" si="0"/>
        <v>4936.2342099999996</v>
      </c>
      <c r="S10" s="10">
        <v>0.25</v>
      </c>
    </row>
    <row r="11" spans="1:41" x14ac:dyDescent="0.25">
      <c r="A11" s="1">
        <v>10</v>
      </c>
      <c r="B11" s="9">
        <v>9322</v>
      </c>
      <c r="C11" s="9">
        <v>459</v>
      </c>
      <c r="D11" s="9" t="s">
        <v>25</v>
      </c>
      <c r="E11" s="9">
        <v>3</v>
      </c>
      <c r="F11" s="9">
        <v>401.52</v>
      </c>
      <c r="G11" s="9">
        <v>0.23</v>
      </c>
      <c r="H11" s="2">
        <v>45278.776388888888</v>
      </c>
      <c r="I11" s="1" t="s">
        <v>16</v>
      </c>
      <c r="J11" s="1" t="s">
        <v>39</v>
      </c>
      <c r="K11" s="9">
        <v>67</v>
      </c>
      <c r="L11" s="1" t="s">
        <v>18</v>
      </c>
      <c r="M11" s="1" t="s">
        <v>29</v>
      </c>
      <c r="N11" s="9">
        <v>35.18</v>
      </c>
      <c r="O11" s="18" t="s">
        <v>91</v>
      </c>
      <c r="Q11" s="12">
        <v>2200</v>
      </c>
      <c r="R11">
        <f t="shared" si="0"/>
        <v>3020.8702629999998</v>
      </c>
      <c r="S11" s="10">
        <v>0.3</v>
      </c>
      <c r="AK11" t="s">
        <v>140</v>
      </c>
    </row>
    <row r="12" spans="1:41" ht="15.75" thickBot="1" x14ac:dyDescent="0.3">
      <c r="A12" s="1">
        <v>11</v>
      </c>
      <c r="B12" s="9">
        <v>2685</v>
      </c>
      <c r="C12" s="9">
        <v>745</v>
      </c>
      <c r="D12" s="9" t="s">
        <v>15</v>
      </c>
      <c r="E12" s="9">
        <v>3</v>
      </c>
      <c r="F12" s="9">
        <v>346.31</v>
      </c>
      <c r="G12" s="9">
        <v>0.06</v>
      </c>
      <c r="H12" s="2">
        <v>45438.12222222222</v>
      </c>
      <c r="I12" s="1" t="s">
        <v>16</v>
      </c>
      <c r="J12" s="1" t="s">
        <v>40</v>
      </c>
      <c r="K12" s="9">
        <v>36</v>
      </c>
      <c r="L12" s="1" t="s">
        <v>23</v>
      </c>
      <c r="M12" s="1" t="s">
        <v>29</v>
      </c>
      <c r="N12" s="9">
        <v>76.819999999999993</v>
      </c>
      <c r="O12" s="18" t="s">
        <v>92</v>
      </c>
      <c r="Q12" s="12">
        <v>6800</v>
      </c>
      <c r="R12">
        <f t="shared" si="0"/>
        <v>5666.2610789</v>
      </c>
    </row>
    <row r="13" spans="1:41" x14ac:dyDescent="0.25">
      <c r="A13" s="1">
        <v>12</v>
      </c>
      <c r="B13" s="9">
        <v>1769</v>
      </c>
      <c r="C13" s="9">
        <v>564</v>
      </c>
      <c r="D13" s="9" t="s">
        <v>36</v>
      </c>
      <c r="E13" s="9">
        <v>1</v>
      </c>
      <c r="F13" s="9">
        <v>434.15</v>
      </c>
      <c r="G13" s="9">
        <v>0.05</v>
      </c>
      <c r="H13" s="2">
        <v>45195.220833333333</v>
      </c>
      <c r="I13" s="1" t="s">
        <v>27</v>
      </c>
      <c r="J13" s="1" t="s">
        <v>41</v>
      </c>
      <c r="K13" s="9">
        <v>61</v>
      </c>
      <c r="L13" s="1" t="s">
        <v>23</v>
      </c>
      <c r="M13" s="1" t="s">
        <v>24</v>
      </c>
      <c r="N13" s="9">
        <v>26.24</v>
      </c>
      <c r="O13" s="18" t="s">
        <v>93</v>
      </c>
      <c r="Q13" s="12">
        <v>3700</v>
      </c>
      <c r="R13">
        <f t="shared" si="0"/>
        <v>4289.8783236700001</v>
      </c>
      <c r="AK13" s="6" t="s">
        <v>95</v>
      </c>
      <c r="AL13" s="6" t="s">
        <v>86</v>
      </c>
      <c r="AM13" s="6" t="s">
        <v>85</v>
      </c>
      <c r="AN13" s="6" t="s">
        <v>97</v>
      </c>
      <c r="AO13" s="6" t="s">
        <v>98</v>
      </c>
    </row>
    <row r="14" spans="1:41" x14ac:dyDescent="0.25">
      <c r="A14" s="1">
        <v>13</v>
      </c>
      <c r="B14" s="9">
        <v>7949</v>
      </c>
      <c r="C14" s="9">
        <v>334</v>
      </c>
      <c r="D14" s="9" t="s">
        <v>0</v>
      </c>
      <c r="E14" s="9">
        <v>3</v>
      </c>
      <c r="F14" s="9">
        <v>189.87</v>
      </c>
      <c r="G14" s="9">
        <v>0.25</v>
      </c>
      <c r="H14" s="2">
        <v>45273.995138888888</v>
      </c>
      <c r="I14" s="1" t="s">
        <v>34</v>
      </c>
      <c r="J14" s="1" t="s">
        <v>42</v>
      </c>
      <c r="K14" s="9">
        <v>65</v>
      </c>
      <c r="L14" s="1" t="s">
        <v>23</v>
      </c>
      <c r="M14" s="1" t="s">
        <v>29</v>
      </c>
      <c r="N14" s="9">
        <v>39.909999999999997</v>
      </c>
      <c r="O14" s="18" t="s">
        <v>90</v>
      </c>
      <c r="Q14" s="12">
        <v>8100</v>
      </c>
      <c r="R14">
        <f t="shared" si="0"/>
        <v>6956.963497101</v>
      </c>
      <c r="AK14" s="4" t="s">
        <v>90</v>
      </c>
      <c r="AL14" s="4">
        <v>3</v>
      </c>
      <c r="AM14" s="4">
        <v>16900</v>
      </c>
      <c r="AN14" s="4">
        <v>5633.333333333333</v>
      </c>
      <c r="AO14" s="4">
        <v>1710833.3333333358</v>
      </c>
    </row>
    <row r="15" spans="1:41" x14ac:dyDescent="0.25">
      <c r="A15" s="1">
        <v>14</v>
      </c>
      <c r="B15" s="9">
        <v>3433</v>
      </c>
      <c r="C15" s="9">
        <v>536</v>
      </c>
      <c r="D15" s="9" t="s">
        <v>43</v>
      </c>
      <c r="E15" s="9">
        <v>1</v>
      </c>
      <c r="F15" s="9">
        <v>559.1</v>
      </c>
      <c r="G15" s="9">
        <v>0.15</v>
      </c>
      <c r="H15" s="2">
        <v>45262.322222222225</v>
      </c>
      <c r="I15" s="1" t="s">
        <v>21</v>
      </c>
      <c r="J15" s="1" t="s">
        <v>44</v>
      </c>
      <c r="K15" s="9">
        <v>35</v>
      </c>
      <c r="L15" s="1" t="s">
        <v>33</v>
      </c>
      <c r="M15" s="1" t="s">
        <v>29</v>
      </c>
      <c r="N15" s="9">
        <v>69.39</v>
      </c>
      <c r="O15" s="18" t="s">
        <v>91</v>
      </c>
      <c r="Q15" s="12">
        <v>4600</v>
      </c>
      <c r="R15">
        <f t="shared" si="0"/>
        <v>5307.0890491302998</v>
      </c>
      <c r="AK15" s="4" t="s">
        <v>91</v>
      </c>
      <c r="AL15" s="4">
        <v>3</v>
      </c>
      <c r="AM15" s="4">
        <v>12100</v>
      </c>
      <c r="AN15" s="4">
        <v>4033.3333333333335</v>
      </c>
      <c r="AO15" s="4">
        <v>663333.33333333209</v>
      </c>
    </row>
    <row r="16" spans="1:41" x14ac:dyDescent="0.25">
      <c r="A16" s="1">
        <v>15</v>
      </c>
      <c r="B16" s="9">
        <v>6311</v>
      </c>
      <c r="C16" s="9">
        <v>239</v>
      </c>
      <c r="D16" s="9" t="s">
        <v>25</v>
      </c>
      <c r="E16" s="9">
        <v>3</v>
      </c>
      <c r="F16" s="9">
        <v>29.01</v>
      </c>
      <c r="G16" s="9">
        <v>0.26</v>
      </c>
      <c r="H16" s="2">
        <v>45352.742361111108</v>
      </c>
      <c r="I16" s="1" t="s">
        <v>16</v>
      </c>
      <c r="J16" s="1" t="s">
        <v>45</v>
      </c>
      <c r="K16" s="9">
        <v>20</v>
      </c>
      <c r="L16" s="1" t="s">
        <v>23</v>
      </c>
      <c r="M16" s="1" t="s">
        <v>24</v>
      </c>
      <c r="N16" s="9">
        <v>10.33</v>
      </c>
      <c r="O16" s="18" t="s">
        <v>92</v>
      </c>
      <c r="Q16" s="12">
        <v>2900</v>
      </c>
      <c r="R16">
        <f t="shared" si="0"/>
        <v>3622.1267147390899</v>
      </c>
      <c r="S16" s="10" t="s">
        <v>110</v>
      </c>
      <c r="AK16" s="4" t="s">
        <v>92</v>
      </c>
      <c r="AL16" s="4">
        <v>3</v>
      </c>
      <c r="AM16" s="4">
        <v>16250</v>
      </c>
      <c r="AN16" s="4">
        <v>5416.666666666667</v>
      </c>
      <c r="AO16" s="4">
        <v>3635833.3333333358</v>
      </c>
    </row>
    <row r="17" spans="1:43" x14ac:dyDescent="0.25">
      <c r="A17" s="1">
        <v>16</v>
      </c>
      <c r="B17" s="9">
        <v>6051</v>
      </c>
      <c r="C17" s="9">
        <v>587</v>
      </c>
      <c r="D17" s="9" t="s">
        <v>25</v>
      </c>
      <c r="E17" s="9">
        <v>2</v>
      </c>
      <c r="F17" s="9">
        <v>541.5</v>
      </c>
      <c r="G17" s="9">
        <v>0.22</v>
      </c>
      <c r="H17" s="2">
        <v>45516.509027777778</v>
      </c>
      <c r="I17" s="1" t="s">
        <v>27</v>
      </c>
      <c r="J17" s="1" t="s">
        <v>46</v>
      </c>
      <c r="K17" s="9">
        <v>46</v>
      </c>
      <c r="L17" s="1" t="s">
        <v>23</v>
      </c>
      <c r="M17" s="1" t="s">
        <v>29</v>
      </c>
      <c r="N17" s="9">
        <v>41.77</v>
      </c>
      <c r="O17" s="18" t="s">
        <v>93</v>
      </c>
      <c r="Q17" s="12">
        <v>6200</v>
      </c>
      <c r="R17">
        <f t="shared" si="0"/>
        <v>5426.6380144217273</v>
      </c>
      <c r="S17" s="10">
        <v>2000</v>
      </c>
      <c r="AK17" s="4"/>
      <c r="AL17" s="4"/>
      <c r="AM17" s="4"/>
      <c r="AN17" s="4"/>
      <c r="AO17" s="4"/>
    </row>
    <row r="18" spans="1:43" ht="30" x14ac:dyDescent="0.25">
      <c r="A18" s="1">
        <v>17</v>
      </c>
      <c r="B18" s="9">
        <v>7420</v>
      </c>
      <c r="C18" s="9">
        <v>868</v>
      </c>
      <c r="D18" s="9" t="s">
        <v>20</v>
      </c>
      <c r="E18" s="9">
        <v>4</v>
      </c>
      <c r="F18" s="9">
        <v>218.68</v>
      </c>
      <c r="G18" s="9">
        <v>0.19</v>
      </c>
      <c r="H18" s="2">
        <v>45497.367361111108</v>
      </c>
      <c r="I18" s="1" t="s">
        <v>34</v>
      </c>
      <c r="J18" s="1" t="s">
        <v>47</v>
      </c>
      <c r="K18" s="9">
        <v>21</v>
      </c>
      <c r="L18" s="1" t="s">
        <v>23</v>
      </c>
      <c r="M18" s="1" t="s">
        <v>19</v>
      </c>
      <c r="N18" s="9">
        <v>9.93</v>
      </c>
      <c r="O18" s="18" t="s">
        <v>90</v>
      </c>
      <c r="Q18" s="12">
        <v>5300</v>
      </c>
      <c r="R18">
        <f t="shared" si="0"/>
        <v>5337.991404326518</v>
      </c>
      <c r="S18" s="10">
        <v>3000</v>
      </c>
      <c r="AC18" s="19" t="s">
        <v>87</v>
      </c>
      <c r="AD18" s="19" t="s">
        <v>0</v>
      </c>
      <c r="AE18" s="19" t="s">
        <v>20</v>
      </c>
      <c r="AF18" s="19" t="s">
        <v>36</v>
      </c>
      <c r="AK18" s="4" t="s">
        <v>0</v>
      </c>
      <c r="AL18" s="4">
        <v>3</v>
      </c>
      <c r="AM18" s="4">
        <v>18250</v>
      </c>
      <c r="AN18" s="4">
        <v>6083.333333333333</v>
      </c>
      <c r="AO18" s="4">
        <v>2130833.3333333358</v>
      </c>
    </row>
    <row r="19" spans="1:43" x14ac:dyDescent="0.25">
      <c r="A19" s="1">
        <v>18</v>
      </c>
      <c r="B19" s="9">
        <v>2184</v>
      </c>
      <c r="C19" s="9">
        <v>384</v>
      </c>
      <c r="D19" s="9" t="s">
        <v>15</v>
      </c>
      <c r="E19" s="9">
        <v>2</v>
      </c>
      <c r="F19" s="9">
        <v>439.07</v>
      </c>
      <c r="G19" s="9">
        <v>0.26</v>
      </c>
      <c r="H19" s="2">
        <v>45457.752083333333</v>
      </c>
      <c r="I19" s="1" t="s">
        <v>48</v>
      </c>
      <c r="J19" s="1" t="s">
        <v>49</v>
      </c>
      <c r="K19" s="9">
        <v>23</v>
      </c>
      <c r="L19" s="1" t="s">
        <v>23</v>
      </c>
      <c r="M19" s="1" t="s">
        <v>19</v>
      </c>
      <c r="N19" s="9">
        <v>97.73</v>
      </c>
      <c r="O19" s="18" t="s">
        <v>91</v>
      </c>
      <c r="Q19" s="12">
        <v>3100</v>
      </c>
      <c r="R19">
        <f t="shared" si="0"/>
        <v>3771.3974212979556</v>
      </c>
      <c r="S19" s="10">
        <v>4000</v>
      </c>
      <c r="AC19" s="20" t="s">
        <v>90</v>
      </c>
      <c r="AD19" s="20">
        <v>6850</v>
      </c>
      <c r="AE19" s="20">
        <v>4250</v>
      </c>
      <c r="AF19" s="20">
        <v>5800</v>
      </c>
      <c r="AK19" s="4" t="s">
        <v>20</v>
      </c>
      <c r="AL19" s="4">
        <v>3</v>
      </c>
      <c r="AM19" s="4">
        <v>13300</v>
      </c>
      <c r="AN19" s="4">
        <v>4433.333333333333</v>
      </c>
      <c r="AO19" s="4">
        <v>2055833.3333333321</v>
      </c>
    </row>
    <row r="20" spans="1:43" ht="15.75" thickBot="1" x14ac:dyDescent="0.3">
      <c r="A20" s="1">
        <v>19</v>
      </c>
      <c r="B20" s="9">
        <v>5555</v>
      </c>
      <c r="C20" s="9">
        <v>701</v>
      </c>
      <c r="D20" s="9" t="s">
        <v>31</v>
      </c>
      <c r="E20" s="9">
        <v>4</v>
      </c>
      <c r="F20" s="9">
        <v>849.82</v>
      </c>
      <c r="G20" s="9">
        <v>0.12</v>
      </c>
      <c r="H20" s="2">
        <v>45353.220833333333</v>
      </c>
      <c r="I20" s="1" t="s">
        <v>16</v>
      </c>
      <c r="J20" s="1" t="s">
        <v>50</v>
      </c>
      <c r="K20" s="9">
        <v>52</v>
      </c>
      <c r="L20" s="1" t="s">
        <v>18</v>
      </c>
      <c r="M20" s="1" t="s">
        <v>29</v>
      </c>
      <c r="N20" s="9">
        <v>54.32</v>
      </c>
      <c r="O20" s="18" t="s">
        <v>92</v>
      </c>
      <c r="Q20" s="12">
        <v>7200</v>
      </c>
      <c r="R20">
        <f t="shared" si="0"/>
        <v>6171.4192263893865</v>
      </c>
      <c r="S20" s="10">
        <v>5000</v>
      </c>
      <c r="AC20" s="20" t="s">
        <v>91</v>
      </c>
      <c r="AD20" s="20">
        <v>4400</v>
      </c>
      <c r="AE20" s="20">
        <v>3100</v>
      </c>
      <c r="AF20" s="20">
        <v>4600</v>
      </c>
      <c r="AK20" s="5" t="s">
        <v>36</v>
      </c>
      <c r="AL20" s="5">
        <v>3</v>
      </c>
      <c r="AM20" s="5">
        <v>13700</v>
      </c>
      <c r="AN20" s="5">
        <v>4566.666666666667</v>
      </c>
      <c r="AO20" s="5">
        <v>1563333.3333333321</v>
      </c>
    </row>
    <row r="21" spans="1:43" x14ac:dyDescent="0.25">
      <c r="A21" s="1">
        <v>20</v>
      </c>
      <c r="B21" s="9">
        <v>4385</v>
      </c>
      <c r="C21" s="9">
        <v>427</v>
      </c>
      <c r="D21" s="9" t="s">
        <v>0</v>
      </c>
      <c r="E21" s="9">
        <v>1</v>
      </c>
      <c r="F21" s="9">
        <v>886.69</v>
      </c>
      <c r="G21" s="9">
        <v>0.28000000000000003</v>
      </c>
      <c r="H21" s="2">
        <v>45431.556944444441</v>
      </c>
      <c r="I21" s="1" t="s">
        <v>21</v>
      </c>
      <c r="J21" s="1" t="s">
        <v>51</v>
      </c>
      <c r="K21" s="9">
        <v>46</v>
      </c>
      <c r="L21" s="1" t="s">
        <v>23</v>
      </c>
      <c r="M21" s="1" t="s">
        <v>29</v>
      </c>
      <c r="N21" s="9">
        <v>57.35</v>
      </c>
      <c r="O21" s="18" t="s">
        <v>93</v>
      </c>
      <c r="Q21" s="12">
        <v>4300</v>
      </c>
      <c r="R21">
        <f t="shared" si="0"/>
        <v>4861.4257679168159</v>
      </c>
      <c r="S21" s="10">
        <v>6000</v>
      </c>
      <c r="AC21" s="20" t="s">
        <v>92</v>
      </c>
      <c r="AD21" s="20">
        <v>7000</v>
      </c>
      <c r="AE21" s="20">
        <v>5950</v>
      </c>
      <c r="AF21" s="20">
        <v>3300</v>
      </c>
    </row>
    <row r="22" spans="1:43" x14ac:dyDescent="0.25">
      <c r="A22" s="1">
        <v>21</v>
      </c>
      <c r="B22" s="9">
        <v>7396</v>
      </c>
      <c r="C22" s="9">
        <v>150</v>
      </c>
      <c r="D22" s="9" t="s">
        <v>25</v>
      </c>
      <c r="E22" s="9">
        <v>2</v>
      </c>
      <c r="F22" s="9">
        <v>137.79</v>
      </c>
      <c r="G22" s="9">
        <v>0.04</v>
      </c>
      <c r="H22" s="2">
        <v>45425.419444444444</v>
      </c>
      <c r="I22" s="1" t="s">
        <v>34</v>
      </c>
      <c r="J22" s="1" t="s">
        <v>52</v>
      </c>
      <c r="K22" s="9">
        <v>60</v>
      </c>
      <c r="L22" s="1" t="s">
        <v>33</v>
      </c>
      <c r="M22" s="1" t="s">
        <v>19</v>
      </c>
      <c r="N22" s="9">
        <v>41.08</v>
      </c>
      <c r="O22" s="18" t="s">
        <v>90</v>
      </c>
      <c r="Q22" s="12">
        <v>6700</v>
      </c>
      <c r="R22">
        <f t="shared" si="0"/>
        <v>6148.427730375045</v>
      </c>
      <c r="S22" s="10">
        <v>7000</v>
      </c>
    </row>
    <row r="23" spans="1:43" ht="15.75" thickBot="1" x14ac:dyDescent="0.3">
      <c r="A23" s="1">
        <v>22</v>
      </c>
      <c r="B23" s="9">
        <v>9666</v>
      </c>
      <c r="C23" s="9">
        <v>797</v>
      </c>
      <c r="D23" s="9" t="s">
        <v>0</v>
      </c>
      <c r="E23" s="9">
        <v>4</v>
      </c>
      <c r="F23" s="9">
        <v>6.58</v>
      </c>
      <c r="G23" s="9">
        <v>0.04</v>
      </c>
      <c r="H23" s="2">
        <v>45387.868055555555</v>
      </c>
      <c r="I23" s="1" t="s">
        <v>48</v>
      </c>
      <c r="J23" s="1" t="s">
        <v>53</v>
      </c>
      <c r="K23" s="9">
        <v>54</v>
      </c>
      <c r="L23" s="1" t="s">
        <v>18</v>
      </c>
      <c r="M23" s="1" t="s">
        <v>19</v>
      </c>
      <c r="N23" s="9">
        <v>88.02</v>
      </c>
      <c r="O23" s="18" t="s">
        <v>91</v>
      </c>
      <c r="Q23" s="12">
        <v>2500</v>
      </c>
      <c r="R23">
        <f t="shared" si="0"/>
        <v>3594.5283191125136</v>
      </c>
      <c r="AK23" t="s">
        <v>99</v>
      </c>
    </row>
    <row r="24" spans="1:43" x14ac:dyDescent="0.25">
      <c r="A24" s="1">
        <v>23</v>
      </c>
      <c r="B24" s="9">
        <v>3558</v>
      </c>
      <c r="C24" s="9">
        <v>577</v>
      </c>
      <c r="D24" s="9" t="s">
        <v>25</v>
      </c>
      <c r="E24" s="9">
        <v>3</v>
      </c>
      <c r="F24" s="9">
        <v>888.2</v>
      </c>
      <c r="G24" s="9">
        <v>0.04</v>
      </c>
      <c r="H24" s="2">
        <v>45247.229166666664</v>
      </c>
      <c r="I24" s="1" t="s">
        <v>16</v>
      </c>
      <c r="J24" s="1" t="s">
        <v>54</v>
      </c>
      <c r="K24" s="9">
        <v>29</v>
      </c>
      <c r="L24" s="1" t="s">
        <v>23</v>
      </c>
      <c r="M24" s="1" t="s">
        <v>19</v>
      </c>
      <c r="N24" s="9">
        <v>67.510000000000005</v>
      </c>
      <c r="O24" s="18" t="s">
        <v>92</v>
      </c>
      <c r="Q24" s="12">
        <v>5800</v>
      </c>
      <c r="R24">
        <f t="shared" si="0"/>
        <v>5138.3584957337534</v>
      </c>
      <c r="AK24" s="6" t="s">
        <v>100</v>
      </c>
      <c r="AL24" s="6" t="s">
        <v>101</v>
      </c>
      <c r="AM24" s="6" t="s">
        <v>102</v>
      </c>
      <c r="AN24" s="6" t="s">
        <v>103</v>
      </c>
      <c r="AO24" s="6" t="s">
        <v>104</v>
      </c>
      <c r="AP24" s="6" t="s">
        <v>105</v>
      </c>
      <c r="AQ24" s="6" t="s">
        <v>106</v>
      </c>
    </row>
    <row r="25" spans="1:43" x14ac:dyDescent="0.25">
      <c r="A25" s="1">
        <v>24</v>
      </c>
      <c r="B25" s="9">
        <v>8849</v>
      </c>
      <c r="C25" s="9">
        <v>385</v>
      </c>
      <c r="D25" s="9" t="s">
        <v>25</v>
      </c>
      <c r="E25" s="9">
        <v>4</v>
      </c>
      <c r="F25" s="9">
        <v>109.35</v>
      </c>
      <c r="G25" s="9">
        <v>0.15</v>
      </c>
      <c r="H25" s="2">
        <v>45509.588194444441</v>
      </c>
      <c r="I25" s="1" t="s">
        <v>21</v>
      </c>
      <c r="J25" s="1" t="s">
        <v>55</v>
      </c>
      <c r="K25" s="9">
        <v>45</v>
      </c>
      <c r="L25" s="1" t="s">
        <v>18</v>
      </c>
      <c r="M25" s="1" t="s">
        <v>24</v>
      </c>
      <c r="N25" s="9">
        <v>18.760000000000002</v>
      </c>
      <c r="O25" s="18" t="s">
        <v>93</v>
      </c>
      <c r="Q25" s="12">
        <v>3900</v>
      </c>
      <c r="R25">
        <f t="shared" si="0"/>
        <v>4271.5075487201257</v>
      </c>
      <c r="AK25" s="4" t="s">
        <v>141</v>
      </c>
      <c r="AL25" s="4">
        <v>4520555.5555555541</v>
      </c>
      <c r="AM25" s="4">
        <v>2</v>
      </c>
      <c r="AN25" s="4">
        <v>2260277.7777777771</v>
      </c>
      <c r="AO25" s="4">
        <v>1.2953912282098219</v>
      </c>
      <c r="AP25" s="4">
        <v>0.36833757847324344</v>
      </c>
      <c r="AQ25" s="4">
        <v>6.9442719099991574</v>
      </c>
    </row>
    <row r="26" spans="1:43" x14ac:dyDescent="0.25">
      <c r="A26" s="1">
        <v>25</v>
      </c>
      <c r="B26" s="9">
        <v>3047</v>
      </c>
      <c r="C26" s="9">
        <v>419</v>
      </c>
      <c r="D26" s="9" t="s">
        <v>0</v>
      </c>
      <c r="E26" s="9">
        <v>4</v>
      </c>
      <c r="F26" s="9">
        <v>144.08000000000001</v>
      </c>
      <c r="G26" s="9">
        <v>0.28000000000000003</v>
      </c>
      <c r="H26" s="2">
        <v>45346.051388888889</v>
      </c>
      <c r="I26" s="1" t="s">
        <v>16</v>
      </c>
      <c r="J26" s="1" t="s">
        <v>56</v>
      </c>
      <c r="K26" s="9">
        <v>38</v>
      </c>
      <c r="L26" s="1" t="s">
        <v>33</v>
      </c>
      <c r="M26" s="1" t="s">
        <v>24</v>
      </c>
      <c r="N26" s="9">
        <v>33.4</v>
      </c>
      <c r="O26" s="18" t="s">
        <v>90</v>
      </c>
      <c r="Q26" s="12">
        <v>8400</v>
      </c>
      <c r="R26">
        <f t="shared" si="0"/>
        <v>7161.4522646160376</v>
      </c>
      <c r="AK26" s="4" t="s">
        <v>142</v>
      </c>
      <c r="AL26" s="4">
        <v>5040555.5555555541</v>
      </c>
      <c r="AM26" s="4">
        <v>2</v>
      </c>
      <c r="AN26" s="4">
        <v>2520277.7777777771</v>
      </c>
      <c r="AO26" s="4">
        <v>1.4444002228767008</v>
      </c>
      <c r="AP26" s="4">
        <v>0.33715746047966672</v>
      </c>
      <c r="AQ26" s="4">
        <v>6.9442719099991574</v>
      </c>
    </row>
    <row r="27" spans="1:43" x14ac:dyDescent="0.25">
      <c r="A27" s="1">
        <v>26</v>
      </c>
      <c r="B27" s="9">
        <v>3747</v>
      </c>
      <c r="C27" s="9">
        <v>733</v>
      </c>
      <c r="D27" s="9" t="s">
        <v>36</v>
      </c>
      <c r="E27" s="9">
        <v>4</v>
      </c>
      <c r="F27" s="9">
        <v>576.59</v>
      </c>
      <c r="G27" s="9">
        <v>0.2</v>
      </c>
      <c r="H27" s="2">
        <v>45355.387499999997</v>
      </c>
      <c r="I27" s="1" t="s">
        <v>27</v>
      </c>
      <c r="J27" s="1" t="s">
        <v>57</v>
      </c>
      <c r="K27" s="9">
        <v>52</v>
      </c>
      <c r="L27" s="1" t="s">
        <v>33</v>
      </c>
      <c r="M27" s="1" t="s">
        <v>29</v>
      </c>
      <c r="N27" s="9">
        <v>21.91</v>
      </c>
      <c r="O27" s="18" t="s">
        <v>91</v>
      </c>
      <c r="Q27" s="12">
        <v>4700</v>
      </c>
      <c r="R27">
        <f t="shared" si="0"/>
        <v>5438.435679384811</v>
      </c>
      <c r="AK27" s="4" t="s">
        <v>143</v>
      </c>
      <c r="AL27" s="4">
        <v>6979444.4444444459</v>
      </c>
      <c r="AM27" s="4">
        <v>4</v>
      </c>
      <c r="AN27" s="4">
        <v>1744861.1111111115</v>
      </c>
      <c r="AO27" s="4"/>
      <c r="AP27" s="4"/>
      <c r="AQ27" s="4"/>
    </row>
    <row r="28" spans="1:43" x14ac:dyDescent="0.25">
      <c r="A28" s="1">
        <v>27</v>
      </c>
      <c r="B28" s="9">
        <v>1189</v>
      </c>
      <c r="C28" s="9">
        <v>278</v>
      </c>
      <c r="D28" s="9" t="s">
        <v>0</v>
      </c>
      <c r="E28" s="9">
        <v>3</v>
      </c>
      <c r="F28" s="9">
        <v>954.41</v>
      </c>
      <c r="G28" s="9">
        <v>0.11</v>
      </c>
      <c r="H28" s="2">
        <v>45225.3</v>
      </c>
      <c r="I28" s="1" t="s">
        <v>48</v>
      </c>
      <c r="J28" s="1" t="s">
        <v>58</v>
      </c>
      <c r="K28" s="9">
        <v>66</v>
      </c>
      <c r="L28" s="1" t="s">
        <v>33</v>
      </c>
      <c r="M28" s="1" t="s">
        <v>29</v>
      </c>
      <c r="N28" s="9">
        <v>81.489999999999995</v>
      </c>
      <c r="O28" s="18" t="s">
        <v>92</v>
      </c>
      <c r="Q28" s="12">
        <v>3400</v>
      </c>
      <c r="R28">
        <f t="shared" si="0"/>
        <v>4011.5307038154433</v>
      </c>
      <c r="AK28" s="4"/>
      <c r="AL28" s="4"/>
      <c r="AM28" s="4"/>
      <c r="AN28" s="4"/>
      <c r="AO28" s="4"/>
      <c r="AP28" s="4"/>
      <c r="AQ28" s="4"/>
    </row>
    <row r="29" spans="1:43" ht="15.75" thickBot="1" x14ac:dyDescent="0.3">
      <c r="A29" s="1">
        <v>28</v>
      </c>
      <c r="B29" s="9">
        <v>3734</v>
      </c>
      <c r="C29" s="9">
        <v>231</v>
      </c>
      <c r="D29" s="9" t="s">
        <v>43</v>
      </c>
      <c r="E29" s="9">
        <v>3</v>
      </c>
      <c r="F29" s="9">
        <v>513.82000000000005</v>
      </c>
      <c r="G29" s="9">
        <v>0.05</v>
      </c>
      <c r="H29" s="2">
        <v>45508.527083333334</v>
      </c>
      <c r="I29" s="1" t="s">
        <v>34</v>
      </c>
      <c r="J29" s="1" t="s">
        <v>59</v>
      </c>
      <c r="K29" s="9">
        <v>34</v>
      </c>
      <c r="L29" s="1" t="s">
        <v>33</v>
      </c>
      <c r="M29" s="1" t="s">
        <v>29</v>
      </c>
      <c r="N29" s="9">
        <v>77.27</v>
      </c>
      <c r="O29" s="18" t="s">
        <v>93</v>
      </c>
      <c r="Q29" s="12">
        <v>6500</v>
      </c>
      <c r="R29">
        <f t="shared" si="0"/>
        <v>5753.4592111446327</v>
      </c>
      <c r="AK29" s="5" t="s">
        <v>109</v>
      </c>
      <c r="AL29" s="5">
        <v>16540555.555555554</v>
      </c>
      <c r="AM29" s="5">
        <v>8</v>
      </c>
      <c r="AN29" s="5"/>
      <c r="AO29" s="5"/>
      <c r="AP29" s="5"/>
      <c r="AQ29" s="5"/>
    </row>
    <row r="30" spans="1:43" x14ac:dyDescent="0.25">
      <c r="A30" s="1">
        <v>29</v>
      </c>
      <c r="B30" s="9">
        <v>4005</v>
      </c>
      <c r="C30" s="9">
        <v>699</v>
      </c>
      <c r="D30" s="9" t="s">
        <v>36</v>
      </c>
      <c r="E30" s="9">
        <v>1</v>
      </c>
      <c r="F30" s="9">
        <v>767.89</v>
      </c>
      <c r="G30" s="9">
        <v>0.11</v>
      </c>
      <c r="H30" s="2">
        <v>45418.068749999999</v>
      </c>
      <c r="I30" s="1" t="s">
        <v>34</v>
      </c>
      <c r="J30" s="1" t="s">
        <v>60</v>
      </c>
      <c r="K30" s="9">
        <v>52</v>
      </c>
      <c r="L30" s="1" t="s">
        <v>23</v>
      </c>
      <c r="M30" s="1" t="s">
        <v>24</v>
      </c>
      <c r="N30" s="9">
        <v>26.78</v>
      </c>
      <c r="O30" s="18" t="s">
        <v>90</v>
      </c>
      <c r="Q30" s="12">
        <v>5600</v>
      </c>
      <c r="R30">
        <f t="shared" si="0"/>
        <v>5646.0377633433891</v>
      </c>
    </row>
    <row r="31" spans="1:43" x14ac:dyDescent="0.25">
      <c r="A31" s="1">
        <v>30</v>
      </c>
      <c r="B31" s="9">
        <v>5658</v>
      </c>
      <c r="C31" s="9">
        <v>829</v>
      </c>
      <c r="D31" s="9" t="s">
        <v>20</v>
      </c>
      <c r="E31" s="9">
        <v>4</v>
      </c>
      <c r="F31" s="9">
        <v>653.79</v>
      </c>
      <c r="G31" s="9">
        <v>0.01</v>
      </c>
      <c r="H31" s="2">
        <v>45222.481944444444</v>
      </c>
      <c r="I31" s="1" t="s">
        <v>16</v>
      </c>
      <c r="J31" s="1" t="s">
        <v>61</v>
      </c>
      <c r="K31" s="9">
        <v>68</v>
      </c>
      <c r="L31" s="1" t="s">
        <v>18</v>
      </c>
      <c r="M31" s="1" t="s">
        <v>29</v>
      </c>
      <c r="N31" s="9">
        <v>39.340000000000003</v>
      </c>
      <c r="O31" s="18" t="s">
        <v>91</v>
      </c>
      <c r="Q31" s="12">
        <v>2800</v>
      </c>
      <c r="R31">
        <f t="shared" si="0"/>
        <v>3653.8113290030165</v>
      </c>
    </row>
    <row r="32" spans="1:43" x14ac:dyDescent="0.25">
      <c r="A32" s="1">
        <v>31</v>
      </c>
      <c r="B32" s="9">
        <v>2899</v>
      </c>
      <c r="C32" s="9">
        <v>299</v>
      </c>
      <c r="D32" s="9" t="s">
        <v>43</v>
      </c>
      <c r="E32" s="9">
        <v>1</v>
      </c>
      <c r="F32" s="9">
        <v>361.67</v>
      </c>
      <c r="G32" s="9">
        <v>0.06</v>
      </c>
      <c r="H32" s="2">
        <v>45301.112500000003</v>
      </c>
      <c r="I32" s="1" t="s">
        <v>34</v>
      </c>
      <c r="J32" s="1" t="s">
        <v>62</v>
      </c>
      <c r="K32" s="9">
        <v>23</v>
      </c>
      <c r="L32" s="1" t="s">
        <v>23</v>
      </c>
      <c r="M32" s="1" t="s">
        <v>29</v>
      </c>
      <c r="N32" s="9">
        <v>91.11</v>
      </c>
      <c r="O32" s="18" t="s">
        <v>92</v>
      </c>
      <c r="Q32" s="12">
        <v>7700</v>
      </c>
      <c r="R32">
        <f t="shared" si="0"/>
        <v>6486.143398700905</v>
      </c>
    </row>
    <row r="33" spans="1:47" x14ac:dyDescent="0.25">
      <c r="A33" s="1">
        <v>32</v>
      </c>
      <c r="B33" s="9">
        <v>8734</v>
      </c>
      <c r="C33" s="9">
        <v>706</v>
      </c>
      <c r="D33" s="9" t="s">
        <v>0</v>
      </c>
      <c r="E33" s="9">
        <v>1</v>
      </c>
      <c r="F33" s="9">
        <v>327.64</v>
      </c>
      <c r="G33" s="9">
        <v>0.28000000000000003</v>
      </c>
      <c r="H33" s="2">
        <v>45422.78125</v>
      </c>
      <c r="I33" s="1" t="s">
        <v>34</v>
      </c>
      <c r="J33" s="1" t="s">
        <v>63</v>
      </c>
      <c r="K33" s="9">
        <v>44</v>
      </c>
      <c r="L33" s="1" t="s">
        <v>18</v>
      </c>
      <c r="M33" s="1" t="s">
        <v>19</v>
      </c>
      <c r="N33" s="9">
        <v>2.78</v>
      </c>
      <c r="O33" s="18" t="s">
        <v>93</v>
      </c>
      <c r="Q33" s="12">
        <v>4500</v>
      </c>
      <c r="R33">
        <f t="shared" si="0"/>
        <v>5095.8430196102709</v>
      </c>
    </row>
    <row r="34" spans="1:47" x14ac:dyDescent="0.25">
      <c r="A34" s="1">
        <v>33</v>
      </c>
      <c r="B34" s="9">
        <v>2267</v>
      </c>
      <c r="C34" s="9">
        <v>693</v>
      </c>
      <c r="D34" s="9" t="s">
        <v>20</v>
      </c>
      <c r="E34" s="9">
        <v>1</v>
      </c>
      <c r="F34" s="9">
        <v>623.45000000000005</v>
      </c>
      <c r="G34" s="9">
        <v>0.13</v>
      </c>
      <c r="H34" s="2">
        <v>45469.131944444445</v>
      </c>
      <c r="I34" s="1" t="s">
        <v>48</v>
      </c>
      <c r="J34" s="1" t="s">
        <v>64</v>
      </c>
      <c r="K34" s="9">
        <v>67</v>
      </c>
      <c r="L34" s="1" t="s">
        <v>23</v>
      </c>
      <c r="M34" s="1" t="s">
        <v>24</v>
      </c>
      <c r="N34" s="9">
        <v>65.39</v>
      </c>
      <c r="O34" s="18" t="s">
        <v>90</v>
      </c>
      <c r="Q34" s="12">
        <v>6100</v>
      </c>
      <c r="R34">
        <f t="shared" si="0"/>
        <v>5798.7529058830814</v>
      </c>
    </row>
    <row r="35" spans="1:47" x14ac:dyDescent="0.25">
      <c r="A35" s="1">
        <v>34</v>
      </c>
      <c r="B35" s="9">
        <v>2528</v>
      </c>
      <c r="C35" s="9">
        <v>544</v>
      </c>
      <c r="D35" s="9" t="s">
        <v>0</v>
      </c>
      <c r="E35" s="9">
        <v>3</v>
      </c>
      <c r="F35" s="9">
        <v>316.88</v>
      </c>
      <c r="G35" s="9">
        <v>0.16</v>
      </c>
      <c r="H35" s="2">
        <v>45185.723611111112</v>
      </c>
      <c r="I35" s="1" t="s">
        <v>27</v>
      </c>
      <c r="J35" s="1" t="s">
        <v>65</v>
      </c>
      <c r="K35" s="9">
        <v>40</v>
      </c>
      <c r="L35" s="1" t="s">
        <v>33</v>
      </c>
      <c r="M35" s="1" t="s">
        <v>24</v>
      </c>
      <c r="N35" s="9">
        <v>22.59</v>
      </c>
      <c r="O35" s="18" t="s">
        <v>91</v>
      </c>
      <c r="Q35" s="12">
        <v>3600</v>
      </c>
      <c r="R35">
        <f t="shared" si="0"/>
        <v>4259.6258717649243</v>
      </c>
    </row>
    <row r="36" spans="1:47" x14ac:dyDescent="0.25">
      <c r="A36" s="1">
        <v>35</v>
      </c>
      <c r="B36" s="9">
        <v>4556</v>
      </c>
      <c r="C36" s="9">
        <v>773</v>
      </c>
      <c r="D36" s="9" t="s">
        <v>31</v>
      </c>
      <c r="E36" s="9">
        <v>1</v>
      </c>
      <c r="F36" s="9">
        <v>560.67999999999995</v>
      </c>
      <c r="G36" s="9">
        <v>0.22</v>
      </c>
      <c r="H36" s="2">
        <v>45248.75277777778</v>
      </c>
      <c r="I36" s="1" t="s">
        <v>27</v>
      </c>
      <c r="J36" s="1" t="s">
        <v>66</v>
      </c>
      <c r="K36" s="9">
        <v>32</v>
      </c>
      <c r="L36" s="1" t="s">
        <v>18</v>
      </c>
      <c r="M36" s="1" t="s">
        <v>24</v>
      </c>
      <c r="N36" s="9">
        <v>50.36</v>
      </c>
      <c r="O36" s="18" t="s">
        <v>92</v>
      </c>
      <c r="Q36" s="12">
        <v>4900</v>
      </c>
      <c r="R36">
        <f t="shared" si="0"/>
        <v>4707.8877615294768</v>
      </c>
    </row>
    <row r="37" spans="1:47" x14ac:dyDescent="0.25">
      <c r="A37" s="1">
        <v>36</v>
      </c>
      <c r="B37" s="9">
        <v>4890</v>
      </c>
      <c r="C37" s="9">
        <v>414</v>
      </c>
      <c r="D37" s="9" t="s">
        <v>36</v>
      </c>
      <c r="E37" s="9">
        <v>3</v>
      </c>
      <c r="F37" s="9">
        <v>423.86</v>
      </c>
      <c r="G37" s="9">
        <v>0.26</v>
      </c>
      <c r="H37" s="2">
        <v>45305.052777777775</v>
      </c>
      <c r="I37" s="1" t="s">
        <v>16</v>
      </c>
      <c r="J37" s="1" t="s">
        <v>67</v>
      </c>
      <c r="K37" s="9">
        <v>67</v>
      </c>
      <c r="L37" s="1" t="s">
        <v>33</v>
      </c>
      <c r="M37" s="1" t="s">
        <v>29</v>
      </c>
      <c r="N37" s="9">
        <v>16.57</v>
      </c>
      <c r="O37" s="18" t="s">
        <v>93</v>
      </c>
      <c r="Q37" s="12">
        <v>7000</v>
      </c>
      <c r="R37">
        <f t="shared" si="0"/>
        <v>6312.3663284588429</v>
      </c>
    </row>
    <row r="38" spans="1:47" s="10" customFormat="1" ht="30" x14ac:dyDescent="0.25">
      <c r="A38" s="9">
        <v>37</v>
      </c>
      <c r="B38" s="9">
        <v>9838</v>
      </c>
      <c r="C38" s="9">
        <v>900</v>
      </c>
      <c r="D38" s="9" t="s">
        <v>20</v>
      </c>
      <c r="E38" s="9">
        <v>1</v>
      </c>
      <c r="F38" s="9">
        <v>629.44000000000005</v>
      </c>
      <c r="G38" s="9">
        <v>0.23</v>
      </c>
      <c r="H38" s="9">
        <v>45242.0625</v>
      </c>
      <c r="I38" s="9" t="s">
        <v>21</v>
      </c>
      <c r="J38" s="9" t="s">
        <v>68</v>
      </c>
      <c r="K38" s="9">
        <v>42</v>
      </c>
      <c r="L38" s="9" t="s">
        <v>23</v>
      </c>
      <c r="M38" s="9" t="s">
        <v>24</v>
      </c>
      <c r="N38" s="9">
        <v>97.39</v>
      </c>
      <c r="O38" s="18" t="s">
        <v>90</v>
      </c>
      <c r="Q38" s="12">
        <v>3200</v>
      </c>
      <c r="R38" s="10">
        <f t="shared" si="0"/>
        <v>4133.7098985376524</v>
      </c>
      <c r="AH38" s="21" t="s">
        <v>87</v>
      </c>
      <c r="AI38" s="21" t="s">
        <v>0</v>
      </c>
      <c r="AJ38" s="21" t="s">
        <v>0</v>
      </c>
      <c r="AK38" s="21" t="s">
        <v>20</v>
      </c>
      <c r="AL38" s="21" t="s">
        <v>20</v>
      </c>
      <c r="AO38" t="s">
        <v>147</v>
      </c>
      <c r="AP38"/>
      <c r="AQ38"/>
      <c r="AR38"/>
      <c r="AS38"/>
      <c r="AT38"/>
      <c r="AU38"/>
    </row>
    <row r="39" spans="1:47" s="10" customFormat="1" x14ac:dyDescent="0.25">
      <c r="A39" s="9">
        <v>38</v>
      </c>
      <c r="B39" s="9">
        <v>6393</v>
      </c>
      <c r="C39" s="9">
        <v>907</v>
      </c>
      <c r="D39" s="9" t="s">
        <v>31</v>
      </c>
      <c r="E39" s="9">
        <v>1</v>
      </c>
      <c r="F39" s="9">
        <v>330.09</v>
      </c>
      <c r="G39" s="9">
        <v>0.21</v>
      </c>
      <c r="H39" s="9">
        <v>45521.574999999997</v>
      </c>
      <c r="I39" s="9" t="s">
        <v>34</v>
      </c>
      <c r="J39" s="9" t="s">
        <v>69</v>
      </c>
      <c r="K39" s="9">
        <v>37</v>
      </c>
      <c r="L39" s="9" t="s">
        <v>23</v>
      </c>
      <c r="M39" s="9" t="s">
        <v>24</v>
      </c>
      <c r="N39" s="9">
        <v>1.59</v>
      </c>
      <c r="O39" s="18" t="s">
        <v>91</v>
      </c>
      <c r="Q39" s="12">
        <v>5400</v>
      </c>
      <c r="R39" s="10">
        <f t="shared" si="0"/>
        <v>5020.1129695612954</v>
      </c>
      <c r="AH39" s="22" t="s">
        <v>90</v>
      </c>
      <c r="AI39" s="22">
        <v>7500</v>
      </c>
      <c r="AJ39" s="22">
        <v>6200</v>
      </c>
      <c r="AK39" s="22">
        <v>3200</v>
      </c>
      <c r="AL39" s="22">
        <v>5300</v>
      </c>
      <c r="AO39"/>
      <c r="AP39"/>
      <c r="AQ39"/>
      <c r="AR39"/>
      <c r="AS39"/>
      <c r="AT39"/>
      <c r="AU39"/>
    </row>
    <row r="40" spans="1:47" s="10" customFormat="1" x14ac:dyDescent="0.25">
      <c r="A40" s="9">
        <v>39</v>
      </c>
      <c r="B40" s="9">
        <v>9792</v>
      </c>
      <c r="C40" s="9">
        <v>172</v>
      </c>
      <c r="D40" s="9" t="s">
        <v>0</v>
      </c>
      <c r="E40" s="9">
        <v>4</v>
      </c>
      <c r="F40" s="9">
        <v>862.67</v>
      </c>
      <c r="G40" s="9">
        <v>0.01</v>
      </c>
      <c r="H40" s="9">
        <v>45279.065972222219</v>
      </c>
      <c r="I40" s="9" t="s">
        <v>48</v>
      </c>
      <c r="J40" s="9" t="s">
        <v>70</v>
      </c>
      <c r="K40" s="9">
        <v>55</v>
      </c>
      <c r="L40" s="9" t="s">
        <v>18</v>
      </c>
      <c r="M40" s="9" t="s">
        <v>24</v>
      </c>
      <c r="N40" s="9">
        <v>34.06</v>
      </c>
      <c r="O40" s="18" t="s">
        <v>92</v>
      </c>
      <c r="Q40" s="12">
        <v>2600</v>
      </c>
      <c r="R40" s="10">
        <f t="shared" si="0"/>
        <v>3326.0338908683884</v>
      </c>
      <c r="AH40" s="22" t="s">
        <v>91</v>
      </c>
      <c r="AI40" s="22">
        <v>4100</v>
      </c>
      <c r="AJ40" s="22">
        <v>4700</v>
      </c>
      <c r="AK40" s="22">
        <v>3400</v>
      </c>
      <c r="AL40" s="22">
        <v>2800</v>
      </c>
      <c r="AO40" t="s">
        <v>95</v>
      </c>
      <c r="AP40" t="s">
        <v>0</v>
      </c>
      <c r="AQ40" t="s">
        <v>0</v>
      </c>
      <c r="AR40" t="s">
        <v>20</v>
      </c>
      <c r="AS40" t="s">
        <v>20</v>
      </c>
      <c r="AT40" t="s">
        <v>109</v>
      </c>
      <c r="AU40"/>
    </row>
    <row r="41" spans="1:47" s="10" customFormat="1" ht="15.75" thickBot="1" x14ac:dyDescent="0.3">
      <c r="A41" s="9">
        <v>40</v>
      </c>
      <c r="B41" s="9">
        <v>9433</v>
      </c>
      <c r="C41" s="9">
        <v>951</v>
      </c>
      <c r="D41" s="9" t="s">
        <v>31</v>
      </c>
      <c r="E41" s="9">
        <v>1</v>
      </c>
      <c r="F41" s="9">
        <v>511.03</v>
      </c>
      <c r="G41" s="9">
        <v>0.01</v>
      </c>
      <c r="H41" s="9">
        <v>45250.852777777778</v>
      </c>
      <c r="I41" s="9" t="s">
        <v>34</v>
      </c>
      <c r="J41" s="9" t="s">
        <v>71</v>
      </c>
      <c r="K41" s="9">
        <v>40</v>
      </c>
      <c r="L41" s="9" t="s">
        <v>33</v>
      </c>
      <c r="M41" s="9" t="s">
        <v>29</v>
      </c>
      <c r="N41" s="9">
        <v>85.58</v>
      </c>
      <c r="O41" s="18" t="s">
        <v>93</v>
      </c>
      <c r="Q41" s="12">
        <v>5900</v>
      </c>
      <c r="R41" s="10">
        <f t="shared" si="0"/>
        <v>5127.8101672605162</v>
      </c>
      <c r="AH41" s="22" t="s">
        <v>92</v>
      </c>
      <c r="AI41" s="22">
        <v>6800</v>
      </c>
      <c r="AJ41" s="22">
        <v>7200</v>
      </c>
      <c r="AK41" s="22">
        <v>6100</v>
      </c>
      <c r="AL41" s="22">
        <v>5800</v>
      </c>
      <c r="AO41" s="23" t="s">
        <v>90</v>
      </c>
      <c r="AP41" s="23"/>
      <c r="AQ41" s="23"/>
      <c r="AR41" s="23"/>
      <c r="AS41" s="23"/>
      <c r="AT41" s="23"/>
      <c r="AU41"/>
    </row>
    <row r="42" spans="1:47" x14ac:dyDescent="0.25">
      <c r="A42" s="1">
        <v>41</v>
      </c>
      <c r="B42" s="9">
        <v>8513</v>
      </c>
      <c r="C42" s="9">
        <v>907</v>
      </c>
      <c r="D42" s="9" t="s">
        <v>25</v>
      </c>
      <c r="E42" s="9">
        <v>2</v>
      </c>
      <c r="F42" s="9">
        <v>42.59</v>
      </c>
      <c r="G42" s="9">
        <v>0.06</v>
      </c>
      <c r="H42" s="2">
        <v>45530.314583333333</v>
      </c>
      <c r="I42" s="1" t="s">
        <v>16</v>
      </c>
      <c r="J42" s="1" t="s">
        <v>72</v>
      </c>
      <c r="K42" s="9">
        <v>68</v>
      </c>
      <c r="L42" s="1" t="s">
        <v>33</v>
      </c>
      <c r="M42" s="1" t="s">
        <v>29</v>
      </c>
      <c r="N42" s="9">
        <v>51.92</v>
      </c>
      <c r="O42" s="18" t="s">
        <v>90</v>
      </c>
      <c r="Q42" s="12">
        <v>7300</v>
      </c>
      <c r="R42" s="12">
        <v>1700</v>
      </c>
      <c r="AO42" s="4" t="s">
        <v>86</v>
      </c>
      <c r="AP42" s="4">
        <v>1</v>
      </c>
      <c r="AQ42" s="4">
        <v>1</v>
      </c>
      <c r="AR42" s="4">
        <v>1</v>
      </c>
      <c r="AS42" s="4">
        <v>1</v>
      </c>
      <c r="AT42" s="4">
        <v>4</v>
      </c>
    </row>
    <row r="43" spans="1:47" x14ac:dyDescent="0.25">
      <c r="AH43" s="22" t="s">
        <v>151</v>
      </c>
      <c r="AI43" t="s">
        <v>152</v>
      </c>
      <c r="AJ43" t="s">
        <v>153</v>
      </c>
      <c r="AO43" s="4" t="s">
        <v>85</v>
      </c>
      <c r="AP43" s="4">
        <v>7500</v>
      </c>
      <c r="AQ43" s="4">
        <v>6200</v>
      </c>
      <c r="AR43" s="4">
        <v>3200</v>
      </c>
      <c r="AS43" s="4">
        <v>5300</v>
      </c>
      <c r="AT43" s="4">
        <v>22200</v>
      </c>
    </row>
    <row r="44" spans="1:47" ht="30" x14ac:dyDescent="0.25">
      <c r="AH44" s="22" t="s">
        <v>90</v>
      </c>
      <c r="AI44" s="21" t="s">
        <v>0</v>
      </c>
      <c r="AJ44" s="22">
        <v>9000</v>
      </c>
      <c r="AO44" s="4" t="s">
        <v>97</v>
      </c>
      <c r="AP44" s="4">
        <v>7500</v>
      </c>
      <c r="AQ44" s="4">
        <v>6200</v>
      </c>
      <c r="AR44" s="4">
        <v>3200</v>
      </c>
      <c r="AS44" s="4">
        <v>5300</v>
      </c>
      <c r="AT44" s="4">
        <v>5550</v>
      </c>
    </row>
    <row r="45" spans="1:47" ht="30" x14ac:dyDescent="0.25">
      <c r="AH45" s="22" t="s">
        <v>90</v>
      </c>
      <c r="AI45" s="21" t="s">
        <v>0</v>
      </c>
      <c r="AJ45" s="22">
        <v>8000</v>
      </c>
      <c r="AO45" s="4" t="s">
        <v>98</v>
      </c>
      <c r="AP45" s="4" t="e">
        <v>#DIV/0!</v>
      </c>
      <c r="AQ45" s="4" t="e">
        <v>#DIV/0!</v>
      </c>
      <c r="AR45" s="4" t="e">
        <v>#DIV/0!</v>
      </c>
      <c r="AS45" s="4" t="e">
        <v>#DIV/0!</v>
      </c>
      <c r="AT45" s="4">
        <v>3270000</v>
      </c>
    </row>
    <row r="46" spans="1:47" ht="30" x14ac:dyDescent="0.25">
      <c r="AH46" s="22" t="s">
        <v>90</v>
      </c>
      <c r="AI46" s="21" t="s">
        <v>0</v>
      </c>
      <c r="AJ46" s="22">
        <v>1000</v>
      </c>
      <c r="AO46" s="4"/>
      <c r="AP46" s="4"/>
      <c r="AQ46" s="4"/>
      <c r="AR46" s="4"/>
      <c r="AS46" s="4"/>
      <c r="AT46" s="4"/>
    </row>
    <row r="47" spans="1:47" ht="15.75" thickBot="1" x14ac:dyDescent="0.3">
      <c r="AH47" s="22" t="s">
        <v>91</v>
      </c>
      <c r="AI47" s="21" t="s">
        <v>20</v>
      </c>
      <c r="AJ47" s="22">
        <v>8000</v>
      </c>
      <c r="AO47" s="23" t="s">
        <v>91</v>
      </c>
      <c r="AP47" s="23"/>
      <c r="AQ47" s="23"/>
      <c r="AR47" s="23"/>
      <c r="AS47" s="23"/>
      <c r="AT47" s="23"/>
    </row>
    <row r="48" spans="1:47" x14ac:dyDescent="0.25">
      <c r="D48" t="s">
        <v>145</v>
      </c>
      <c r="E48" s="10" t="s">
        <v>146</v>
      </c>
      <c r="AH48" s="22" t="s">
        <v>91</v>
      </c>
      <c r="AI48" s="21" t="s">
        <v>20</v>
      </c>
      <c r="AJ48" s="22">
        <v>3000</v>
      </c>
      <c r="AO48" s="4" t="s">
        <v>86</v>
      </c>
      <c r="AP48" s="4">
        <v>1</v>
      </c>
      <c r="AQ48" s="4">
        <v>1</v>
      </c>
      <c r="AR48" s="4">
        <v>1</v>
      </c>
      <c r="AS48" s="4">
        <v>1</v>
      </c>
      <c r="AT48" s="4">
        <v>4</v>
      </c>
    </row>
    <row r="49" spans="4:46" x14ac:dyDescent="0.25">
      <c r="D49" s="12">
        <v>6100</v>
      </c>
      <c r="E49" s="12">
        <v>7500</v>
      </c>
      <c r="AH49" s="22" t="s">
        <v>91</v>
      </c>
      <c r="AI49" s="21" t="s">
        <v>20</v>
      </c>
      <c r="AJ49" s="22">
        <v>1000</v>
      </c>
      <c r="AO49" s="4" t="s">
        <v>85</v>
      </c>
      <c r="AP49" s="4">
        <v>4100</v>
      </c>
      <c r="AQ49" s="4">
        <v>4700</v>
      </c>
      <c r="AR49" s="4">
        <v>3400</v>
      </c>
      <c r="AS49" s="4">
        <v>2800</v>
      </c>
      <c r="AT49" s="4">
        <v>15000</v>
      </c>
    </row>
    <row r="50" spans="4:46" ht="30" x14ac:dyDescent="0.25">
      <c r="D50" s="12">
        <v>2200</v>
      </c>
      <c r="E50" s="12">
        <v>8100</v>
      </c>
      <c r="AH50" s="22" t="s">
        <v>92</v>
      </c>
      <c r="AI50" s="21" t="s">
        <v>0</v>
      </c>
      <c r="AJ50" s="22">
        <v>900</v>
      </c>
      <c r="AO50" s="4" t="s">
        <v>97</v>
      </c>
      <c r="AP50" s="4">
        <v>4100</v>
      </c>
      <c r="AQ50" s="4">
        <v>4700</v>
      </c>
      <c r="AR50" s="4">
        <v>3400</v>
      </c>
      <c r="AS50" s="4">
        <v>2800</v>
      </c>
      <c r="AT50" s="4">
        <v>3750</v>
      </c>
    </row>
    <row r="51" spans="4:46" ht="30" x14ac:dyDescent="0.25">
      <c r="D51" s="12">
        <v>2900</v>
      </c>
      <c r="E51" s="12">
        <v>4300</v>
      </c>
      <c r="AH51" s="22" t="s">
        <v>92</v>
      </c>
      <c r="AI51" s="21" t="s">
        <v>0</v>
      </c>
      <c r="AJ51" s="22">
        <v>2000</v>
      </c>
      <c r="AO51" s="4" t="s">
        <v>98</v>
      </c>
      <c r="AP51" s="4" t="e">
        <v>#DIV/0!</v>
      </c>
      <c r="AQ51" s="4" t="e">
        <v>#DIV/0!</v>
      </c>
      <c r="AR51" s="4" t="e">
        <v>#DIV/0!</v>
      </c>
      <c r="AS51" s="4" t="e">
        <v>#DIV/0!</v>
      </c>
      <c r="AT51" s="4">
        <v>683333.33333333337</v>
      </c>
    </row>
    <row r="52" spans="4:46" ht="30" x14ac:dyDescent="0.25">
      <c r="D52" s="12">
        <v>6200</v>
      </c>
      <c r="E52" s="12">
        <v>2500</v>
      </c>
      <c r="AH52" s="22" t="s">
        <v>92</v>
      </c>
      <c r="AI52" s="21" t="s">
        <v>0</v>
      </c>
      <c r="AJ52" s="22">
        <v>3000</v>
      </c>
      <c r="AO52" s="4"/>
      <c r="AP52" s="4"/>
      <c r="AQ52" s="4"/>
      <c r="AR52" s="4"/>
      <c r="AS52" s="4"/>
      <c r="AT52" s="4"/>
    </row>
    <row r="53" spans="4:46" ht="15.75" thickBot="1" x14ac:dyDescent="0.3">
      <c r="D53" s="12">
        <v>6700</v>
      </c>
      <c r="E53" s="12">
        <v>8400</v>
      </c>
      <c r="AO53" s="23" t="s">
        <v>92</v>
      </c>
      <c r="AP53" s="23"/>
      <c r="AQ53" s="23"/>
      <c r="AR53" s="23"/>
      <c r="AS53" s="23"/>
      <c r="AT53" s="23"/>
    </row>
    <row r="54" spans="4:46" x14ac:dyDescent="0.25">
      <c r="D54" s="12">
        <v>5800</v>
      </c>
      <c r="E54" s="12">
        <v>3400</v>
      </c>
      <c r="AO54" s="4" t="s">
        <v>86</v>
      </c>
      <c r="AP54" s="4">
        <v>1</v>
      </c>
      <c r="AQ54" s="4">
        <v>1</v>
      </c>
      <c r="AR54" s="4">
        <v>1</v>
      </c>
      <c r="AS54" s="4">
        <v>1</v>
      </c>
      <c r="AT54" s="4">
        <v>4</v>
      </c>
    </row>
    <row r="55" spans="4:46" x14ac:dyDescent="0.25">
      <c r="D55" s="12">
        <v>3900</v>
      </c>
      <c r="E55" s="12">
        <v>4500</v>
      </c>
      <c r="AO55" s="4" t="s">
        <v>85</v>
      </c>
      <c r="AP55" s="4">
        <v>6800</v>
      </c>
      <c r="AQ55" s="4">
        <v>7200</v>
      </c>
      <c r="AR55" s="4">
        <v>6100</v>
      </c>
      <c r="AS55" s="4">
        <v>5800</v>
      </c>
      <c r="AT55" s="4">
        <v>25900</v>
      </c>
    </row>
    <row r="56" spans="4:46" x14ac:dyDescent="0.25">
      <c r="D56" s="12">
        <v>7300</v>
      </c>
      <c r="E56" s="12">
        <v>3600</v>
      </c>
      <c r="AO56" s="4" t="s">
        <v>97</v>
      </c>
      <c r="AP56" s="4">
        <v>6800</v>
      </c>
      <c r="AQ56" s="4">
        <v>7200</v>
      </c>
      <c r="AR56" s="4">
        <v>6100</v>
      </c>
      <c r="AS56" s="4">
        <v>5800</v>
      </c>
      <c r="AT56" s="4">
        <v>6475</v>
      </c>
    </row>
    <row r="57" spans="4:46" x14ac:dyDescent="0.25">
      <c r="E57" s="12">
        <v>2600</v>
      </c>
      <c r="AO57" s="4" t="s">
        <v>98</v>
      </c>
      <c r="AP57" s="4" t="e">
        <v>#DIV/0!</v>
      </c>
      <c r="AQ57" s="4" t="e">
        <v>#DIV/0!</v>
      </c>
      <c r="AR57" s="4" t="e">
        <v>#DIV/0!</v>
      </c>
      <c r="AS57" s="4" t="e">
        <v>#DIV/0!</v>
      </c>
      <c r="AT57" s="4">
        <v>409166.66666666669</v>
      </c>
    </row>
    <row r="58" spans="4:46" x14ac:dyDescent="0.25">
      <c r="AO58" s="4"/>
      <c r="AP58" s="4"/>
      <c r="AQ58" s="4"/>
      <c r="AR58" s="4"/>
      <c r="AS58" s="4"/>
      <c r="AT58" s="4"/>
    </row>
    <row r="59" spans="4:46" ht="15.75" thickBot="1" x14ac:dyDescent="0.3">
      <c r="AO59" s="23" t="s">
        <v>109</v>
      </c>
      <c r="AP59" s="23"/>
      <c r="AQ59" s="23"/>
      <c r="AR59" s="23"/>
      <c r="AS59" s="23"/>
    </row>
    <row r="60" spans="4:46" x14ac:dyDescent="0.25">
      <c r="AO60" s="4" t="s">
        <v>86</v>
      </c>
      <c r="AP60" s="4">
        <v>3</v>
      </c>
      <c r="AQ60" s="4">
        <v>3</v>
      </c>
      <c r="AR60" s="4">
        <v>3</v>
      </c>
      <c r="AS60" s="4">
        <v>3</v>
      </c>
    </row>
    <row r="61" spans="4:46" x14ac:dyDescent="0.25">
      <c r="AO61" s="4" t="s">
        <v>85</v>
      </c>
      <c r="AP61" s="4">
        <v>18400</v>
      </c>
      <c r="AQ61" s="4">
        <v>18100</v>
      </c>
      <c r="AR61" s="4">
        <v>12700</v>
      </c>
      <c r="AS61" s="4">
        <v>13900</v>
      </c>
    </row>
    <row r="62" spans="4:46" x14ac:dyDescent="0.25">
      <c r="AO62" s="4" t="s">
        <v>97</v>
      </c>
      <c r="AP62" s="4">
        <v>6133.333333333333</v>
      </c>
      <c r="AQ62" s="4">
        <v>6033.333333333333</v>
      </c>
      <c r="AR62" s="4">
        <v>4233.333333333333</v>
      </c>
      <c r="AS62" s="4">
        <v>4633.333333333333</v>
      </c>
    </row>
    <row r="63" spans="4:46" x14ac:dyDescent="0.25">
      <c r="AO63" s="4" t="s">
        <v>98</v>
      </c>
      <c r="AP63" s="4">
        <v>3223333.3333333358</v>
      </c>
      <c r="AQ63" s="4">
        <v>1583333.3333333358</v>
      </c>
      <c r="AR63" s="4">
        <v>2623333.3333333321</v>
      </c>
      <c r="AS63" s="4">
        <v>2583333.3333333321</v>
      </c>
    </row>
    <row r="64" spans="4:46" x14ac:dyDescent="0.25">
      <c r="AO64" s="4"/>
      <c r="AP64" s="4"/>
      <c r="AQ64" s="4"/>
      <c r="AR64" s="4"/>
      <c r="AS64" s="4"/>
    </row>
    <row r="66" spans="41:47" ht="15.75" thickBot="1" x14ac:dyDescent="0.3">
      <c r="AO66" t="s">
        <v>99</v>
      </c>
    </row>
    <row r="67" spans="41:47" x14ac:dyDescent="0.25">
      <c r="AO67" s="6" t="s">
        <v>100</v>
      </c>
      <c r="AP67" s="6" t="s">
        <v>101</v>
      </c>
      <c r="AQ67" s="6" t="s">
        <v>102</v>
      </c>
      <c r="AR67" s="6" t="s">
        <v>103</v>
      </c>
      <c r="AS67" s="6" t="s">
        <v>104</v>
      </c>
      <c r="AT67" s="6" t="s">
        <v>105</v>
      </c>
      <c r="AU67" s="6" t="s">
        <v>106</v>
      </c>
    </row>
    <row r="68" spans="41:47" x14ac:dyDescent="0.25">
      <c r="AO68" s="4" t="s">
        <v>148</v>
      </c>
      <c r="AP68" s="4">
        <v>15361666.666666668</v>
      </c>
      <c r="AQ68" s="4">
        <v>2</v>
      </c>
      <c r="AR68" s="4">
        <v>7680833.333333334</v>
      </c>
      <c r="AS68" s="4">
        <v>65535</v>
      </c>
      <c r="AT68" s="4" t="e">
        <v>#NUM!</v>
      </c>
      <c r="AU68" s="4" t="e">
        <v>#NUM!</v>
      </c>
    </row>
    <row r="69" spans="41:47" x14ac:dyDescent="0.25">
      <c r="AO69" s="4" t="s">
        <v>142</v>
      </c>
      <c r="AP69" s="4">
        <v>8422500</v>
      </c>
      <c r="AQ69" s="4">
        <v>3</v>
      </c>
      <c r="AR69" s="4">
        <v>2807500</v>
      </c>
      <c r="AS69" s="4">
        <v>65535</v>
      </c>
      <c r="AT69" s="4" t="e">
        <v>#NUM!</v>
      </c>
      <c r="AU69" s="4" t="e">
        <v>#NUM!</v>
      </c>
    </row>
    <row r="70" spans="41:47" x14ac:dyDescent="0.25">
      <c r="AO70" s="4" t="s">
        <v>149</v>
      </c>
      <c r="AP70" s="4">
        <v>4665000</v>
      </c>
      <c r="AQ70" s="4">
        <v>6</v>
      </c>
      <c r="AR70" s="4">
        <v>777500</v>
      </c>
      <c r="AS70" s="4">
        <v>65535</v>
      </c>
      <c r="AT70" s="4" t="e">
        <v>#NUM!</v>
      </c>
      <c r="AU70" s="4" t="e">
        <v>#NUM!</v>
      </c>
    </row>
    <row r="71" spans="41:47" x14ac:dyDescent="0.25">
      <c r="AO71" s="4" t="s">
        <v>150</v>
      </c>
      <c r="AP71" s="4">
        <v>0</v>
      </c>
      <c r="AQ71" s="4">
        <v>0</v>
      </c>
      <c r="AR71" s="4">
        <v>65535</v>
      </c>
      <c r="AS71" s="4"/>
      <c r="AT71" s="4"/>
      <c r="AU71" s="4"/>
    </row>
    <row r="72" spans="41:47" x14ac:dyDescent="0.25">
      <c r="AO72" s="4"/>
      <c r="AP72" s="4"/>
      <c r="AQ72" s="4"/>
      <c r="AR72" s="4"/>
      <c r="AS72" s="4"/>
      <c r="AT72" s="4"/>
      <c r="AU72" s="4"/>
    </row>
    <row r="73" spans="41:47" ht="15.75" thickBot="1" x14ac:dyDescent="0.3">
      <c r="AO73" s="5" t="s">
        <v>109</v>
      </c>
      <c r="AP73" s="5">
        <v>28449166.666666668</v>
      </c>
      <c r="AQ73" s="5">
        <v>11</v>
      </c>
      <c r="AR73" s="5"/>
      <c r="AS73" s="5"/>
      <c r="AT73" s="5"/>
      <c r="AU73" s="5"/>
    </row>
  </sheetData>
  <autoFilter ref="D1:D42" xr:uid="{BCB7E211-E9E1-4B8E-8CF3-64B484B1D023}"/>
  <conditionalFormatting sqref="O1:O42">
    <cfRule type="cellIs" dxfId="9" priority="13" operator="equal">
      <formula>"south"</formula>
    </cfRule>
  </conditionalFormatting>
  <conditionalFormatting sqref="Q1">
    <cfRule type="top10" dxfId="8" priority="16" bottom="1" rank="10"/>
    <cfRule type="top10" dxfId="7" priority="17" percent="1" rank="10"/>
    <cfRule type="top10" dxfId="6" priority="18" percent="1" rank="5"/>
    <cfRule type="top10" priority="19" rank="5"/>
  </conditionalFormatting>
  <conditionalFormatting sqref="Q1:Q42">
    <cfRule type="cellIs" dxfId="5" priority="14" operator="lessThan">
      <formula>3000</formula>
    </cfRule>
  </conditionalFormatting>
  <conditionalFormatting sqref="Q2:Q42">
    <cfRule type="cellIs" dxfId="4" priority="15" operator="greaterThan">
      <formula>6000</formula>
    </cfRule>
  </conditionalFormatting>
  <conditionalFormatting sqref="R1 R42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{D75CDD92-69A6-41DC-85CC-FAD0651A3A25}</x14:id>
        </ext>
      </extLst>
    </cfRule>
  </conditionalFormatting>
  <conditionalFormatting sqref="D49:D56">
    <cfRule type="cellIs" dxfId="3" priority="3" operator="lessThan">
      <formula>3000</formula>
    </cfRule>
  </conditionalFormatting>
  <conditionalFormatting sqref="D49:D56">
    <cfRule type="cellIs" dxfId="2" priority="4" operator="greaterThan">
      <formula>6000</formula>
    </cfRule>
  </conditionalFormatting>
  <conditionalFormatting sqref="E49:E57">
    <cfRule type="cellIs" dxfId="1" priority="1" operator="lessThan">
      <formula>3000</formula>
    </cfRule>
  </conditionalFormatting>
  <conditionalFormatting sqref="E49:E57">
    <cfRule type="cellIs" dxfId="0" priority="2" operator="greaterThan">
      <formula>6000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5CDD92-69A6-41DC-85CC-FAD0651A3A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 R42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Sheet2</vt:lpstr>
      <vt:lpstr>Sheet3</vt:lpstr>
      <vt:lpstr>Sheet4</vt:lpstr>
      <vt:lpstr>Sheet5</vt:lpstr>
      <vt:lpstr>Sheet6</vt:lpstr>
      <vt:lpstr>Sheet7</vt:lpstr>
      <vt:lpstr>Sheet8</vt:lpstr>
      <vt:lpstr>Sheet9</vt:lpstr>
      <vt:lpstr>Sheet10</vt:lpstr>
      <vt:lpstr>Sheet11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MITS</dc:creator>
  <cp:lastModifiedBy>MITS</cp:lastModifiedBy>
  <dcterms:created xsi:type="dcterms:W3CDTF">2026-06-05T04:26:50Z</dcterms:created>
  <dcterms:modified xsi:type="dcterms:W3CDTF">2026-06-05T07:28:55Z</dcterms:modified>
</cp:coreProperties>
</file>
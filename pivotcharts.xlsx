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ivotTables/pivotTable2.xml" ContentType="application/vnd.openxmlformats-officedocument.spreadsheetml.pivotTab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Ex1.xml" ContentType="application/vnd.ms-office.chartex+xml"/>
  <Override PartName="/xl/charts/style4.xml" ContentType="application/vnd.ms-office.chartstyle+xml"/>
  <Override PartName="/xl/charts/colors4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0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ITS\Desktop\"/>
    </mc:Choice>
  </mc:AlternateContent>
  <xr:revisionPtr revIDLastSave="0" documentId="8_{EF932885-EE94-47FF-B182-7E31B4354CF7}" xr6:coauthVersionLast="47" xr6:coauthVersionMax="47" xr10:uidLastSave="{00000000-0000-0000-0000-000000000000}"/>
  <bookViews>
    <workbookView xWindow="1770" yWindow="1770" windowWidth="21600" windowHeight="11295" activeTab="3" xr2:uid="{3A556A1B-6861-40AD-A598-392C24D8702B}"/>
  </bookViews>
  <sheets>
    <sheet name="Sheet2" sheetId="2" r:id="rId1"/>
    <sheet name="Sheet3" sheetId="3" r:id="rId2"/>
    <sheet name="Sheet4" sheetId="4" r:id="rId3"/>
    <sheet name="Sheet1" sheetId="1" r:id="rId4"/>
  </sheets>
  <definedNames>
    <definedName name="_xlchart.v1.0" hidden="1">Sheet1!$B$2:$B$28</definedName>
    <definedName name="_xlchart.v1.1" hidden="1">Sheet1!$S$1</definedName>
    <definedName name="_xlchart.v1.2" hidden="1">Sheet1!$S$2:$S$28</definedName>
  </definedNames>
  <calcPr calcId="191029"/>
  <pivotCaches>
    <pivotCache cacheId="0" r:id="rId5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<sst xmlns="http://schemas.openxmlformats.org/spreadsheetml/2006/main" count="536" uniqueCount="75">
  <si>
    <t>customerID</t>
  </si>
  <si>
    <t>gender</t>
  </si>
  <si>
    <t>SeniorCitizen</t>
  </si>
  <si>
    <t>Partner</t>
  </si>
  <si>
    <t>Dependents</t>
  </si>
  <si>
    <t>tenure</t>
  </si>
  <si>
    <t>PhoneService</t>
  </si>
  <si>
    <t>MultipleLines</t>
  </si>
  <si>
    <t>InternetService</t>
  </si>
  <si>
    <t>OnlineSecurity</t>
  </si>
  <si>
    <t>OnlineBackup</t>
  </si>
  <si>
    <t>DeviceProtection</t>
  </si>
  <si>
    <t>TechSupport</t>
  </si>
  <si>
    <t>StreamingTV</t>
  </si>
  <si>
    <t>StreamingMovies</t>
  </si>
  <si>
    <t>Contract</t>
  </si>
  <si>
    <t>PaperlessBilling</t>
  </si>
  <si>
    <t>PaymentMethod</t>
  </si>
  <si>
    <t>MonthlyCharges</t>
  </si>
  <si>
    <t>TotalCharges</t>
  </si>
  <si>
    <t>Churn</t>
  </si>
  <si>
    <t>7590-VHVEG</t>
  </si>
  <si>
    <t>Female</t>
  </si>
  <si>
    <t>Yes</t>
  </si>
  <si>
    <t>No</t>
  </si>
  <si>
    <t>No phone service</t>
  </si>
  <si>
    <t>DSL</t>
  </si>
  <si>
    <t>Month-to-month</t>
  </si>
  <si>
    <t>Electronic check</t>
  </si>
  <si>
    <t>5575-GNVDE</t>
  </si>
  <si>
    <t>Male</t>
  </si>
  <si>
    <t>One year</t>
  </si>
  <si>
    <t>Mailed check</t>
  </si>
  <si>
    <t>3668-QPYBK</t>
  </si>
  <si>
    <t>7795-CFOCW</t>
  </si>
  <si>
    <t>Bank transfer (automatic)</t>
  </si>
  <si>
    <t>9237-HQITU</t>
  </si>
  <si>
    <t>Fiber optic</t>
  </si>
  <si>
    <t>9305-CDSKC</t>
  </si>
  <si>
    <t>1452-KIOVK</t>
  </si>
  <si>
    <t>Credit card (automatic)</t>
  </si>
  <si>
    <t>6713-OKOMC</t>
  </si>
  <si>
    <t>7892-POOKP</t>
  </si>
  <si>
    <t>6388-TABGU</t>
  </si>
  <si>
    <t>9763-GRSKD</t>
  </si>
  <si>
    <t>7469-LKBCI</t>
  </si>
  <si>
    <t>No internet service</t>
  </si>
  <si>
    <t>Two year</t>
  </si>
  <si>
    <t>8091-TTVAX</t>
  </si>
  <si>
    <t>0280-XJGEX</t>
  </si>
  <si>
    <t>5129-JLPIS</t>
  </si>
  <si>
    <t>3655-SNQYZ</t>
  </si>
  <si>
    <t>8191-XWSZG</t>
  </si>
  <si>
    <t>9959-WOFKT</t>
  </si>
  <si>
    <t>4190-MFLUW</t>
  </si>
  <si>
    <t>4183-MYFRB</t>
  </si>
  <si>
    <t>8779-QRDMV</t>
  </si>
  <si>
    <t>1680-VDCWW</t>
  </si>
  <si>
    <t>1066-JKSGK</t>
  </si>
  <si>
    <t>3638-WEABW</t>
  </si>
  <si>
    <t>6322-HRPFA</t>
  </si>
  <si>
    <t>6865-JZNKO</t>
  </si>
  <si>
    <t>6467-CHFZW</t>
  </si>
  <si>
    <t>Row Labels</t>
  </si>
  <si>
    <t>Grand Total</t>
  </si>
  <si>
    <t>(All)</t>
  </si>
  <si>
    <t>Count of PhoneService</t>
  </si>
  <si>
    <t>Sum of TotalCharges</t>
  </si>
  <si>
    <t>Count of TechSupport</t>
  </si>
  <si>
    <t>Column Labels</t>
  </si>
  <si>
    <t>No Total</t>
  </si>
  <si>
    <t>Count of StreamingMovies</t>
  </si>
  <si>
    <t>Count of gender</t>
  </si>
  <si>
    <t>Total Count of gender</t>
  </si>
  <si>
    <t>Total Count of StreamingMovies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</si>
</sst>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4"/>
        <bgColor theme="4"/>
      </patternFill>
    </fill>
    <fill>
      <patternFill patternType="solid">
        <fgColor theme="4" tint="0.79998168889431442"/>
        <bgColor theme="4" tint="0.79998168889431442"/>
      </patternFill>
    </fill>
  </fills>
  <borders count="4">
    <border>
      <left/>
      <right/>
      <top/>
      <bottom/>
      <diagonal/>
    </border>
    <border>
      <left style="thin">
        <color theme="4" tint="0.39997558519241921"/>
      </left>
      <right/>
      <top style="thin">
        <color theme="4" tint="0.39997558519241921"/>
      </top>
      <bottom style="thin">
        <color theme="4" tint="0.39997558519241921"/>
      </bottom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  <border>
      <left/>
      <right style="thin">
        <color theme="4" tint="0.39997558519241921"/>
      </right>
      <top style="thin">
        <color theme="4" tint="0.39997558519241921"/>
      </top>
      <bottom style="thin">
        <color theme="4" tint="0.39997558519241921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2" borderId="1" xfId="0" applyFont="1" applyFill="1" applyBorder="1"/>
    <xf numFmtId="0" fontId="1" fillId="2" borderId="2" xfId="0" applyFont="1" applyFill="1" applyBorder="1"/>
    <xf numFmtId="0" fontId="1" fillId="2" borderId="3" xfId="0" applyFont="1" applyFill="1" applyBorder="1"/>
    <xf numFmtId="0" fontId="0" fillId="3" borderId="1" xfId="0" applyFill="1" applyBorder="1"/>
    <xf numFmtId="0" fontId="0" fillId="3" borderId="2" xfId="0" applyFill="1" applyBorder="1"/>
    <xf numFmtId="0" fontId="0" fillId="3" borderId="3" xfId="0" applyFill="1" applyBorder="1"/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Alignment="1">
      <alignment horizontal="left" inden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pivotCacheDefinition" Target="pivotCache/pivotCacheDefinition1.xml"/><Relationship Id="rId4" Type="http://schemas.openxmlformats.org/officeDocument/2006/relationships/worksheet" Target="worksheets/sheet4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Ex1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[pivotcharts.xlsx]Sheet2!PivotTable7</c:name>
    <c:fmtId val="0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Sheet2!$B$6:$B$8</c:f>
              <c:strCache>
                <c:ptCount val="1"/>
                <c:pt idx="0">
                  <c:v>No - Count of gender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Sheet2!$A$9:$A$11</c:f>
              <c:strCache>
                <c:ptCount val="2"/>
                <c:pt idx="0">
                  <c:v>No</c:v>
                </c:pt>
                <c:pt idx="1">
                  <c:v>Yes</c:v>
                </c:pt>
              </c:strCache>
            </c:strRef>
          </c:cat>
          <c:val>
            <c:numRef>
              <c:f>Sheet2!$B$9:$B$11</c:f>
              <c:numCache>
                <c:formatCode>General</c:formatCode>
                <c:ptCount val="2"/>
                <c:pt idx="0">
                  <c:v>14</c:v>
                </c:pt>
                <c:pt idx="1">
                  <c:v>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536B-444C-AC84-9B2D00672DB8}"/>
            </c:ext>
          </c:extLst>
        </c:ser>
        <c:ser>
          <c:idx val="1"/>
          <c:order val="1"/>
          <c:tx>
            <c:strRef>
              <c:f>Sheet2!$C$6:$C$8</c:f>
              <c:strCache>
                <c:ptCount val="1"/>
                <c:pt idx="0">
                  <c:v>No - Count of StreamingMovies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Sheet2!$A$9:$A$11</c:f>
              <c:strCache>
                <c:ptCount val="2"/>
                <c:pt idx="0">
                  <c:v>No</c:v>
                </c:pt>
                <c:pt idx="1">
                  <c:v>Yes</c:v>
                </c:pt>
              </c:strCache>
            </c:strRef>
          </c:cat>
          <c:val>
            <c:numRef>
              <c:f>Sheet2!$C$9:$C$11</c:f>
              <c:numCache>
                <c:formatCode>General</c:formatCode>
                <c:ptCount val="2"/>
                <c:pt idx="0">
                  <c:v>14</c:v>
                </c:pt>
                <c:pt idx="1">
                  <c:v>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536B-444C-AC84-9B2D00672DB8}"/>
            </c:ext>
          </c:extLst>
        </c:ser>
        <c:ser>
          <c:idx val="2"/>
          <c:order val="2"/>
          <c:tx>
            <c:strRef>
              <c:f>Sheet2!$D$6:$D$8</c:f>
              <c:strCache>
                <c:ptCount val="1"/>
                <c:pt idx="0">
                  <c:v>Yes - Count of gender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Sheet2!$A$9:$A$11</c:f>
              <c:strCache>
                <c:ptCount val="2"/>
                <c:pt idx="0">
                  <c:v>No</c:v>
                </c:pt>
                <c:pt idx="1">
                  <c:v>Yes</c:v>
                </c:pt>
              </c:strCache>
            </c:strRef>
          </c:cat>
          <c:val>
            <c:numRef>
              <c:f>Sheet2!$D$9:$D$11</c:f>
              <c:numCache>
                <c:formatCode>General</c:formatCode>
                <c:ptCount val="2"/>
                <c:pt idx="0">
                  <c:v>5</c:v>
                </c:pt>
                <c:pt idx="1">
                  <c:v>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D-536B-444C-AC84-9B2D00672DB8}"/>
            </c:ext>
          </c:extLst>
        </c:ser>
        <c:ser>
          <c:idx val="3"/>
          <c:order val="3"/>
          <c:tx>
            <c:strRef>
              <c:f>Sheet2!$E$6:$E$8</c:f>
              <c:strCache>
                <c:ptCount val="1"/>
                <c:pt idx="0">
                  <c:v>Yes - Count of StreamingMovies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Sheet2!$A$9:$A$11</c:f>
              <c:strCache>
                <c:ptCount val="2"/>
                <c:pt idx="0">
                  <c:v>No</c:v>
                </c:pt>
                <c:pt idx="1">
                  <c:v>Yes</c:v>
                </c:pt>
              </c:strCache>
            </c:strRef>
          </c:cat>
          <c:val>
            <c:numRef>
              <c:f>Sheet2!$E$9:$E$11</c:f>
              <c:numCache>
                <c:formatCode>General</c:formatCode>
                <c:ptCount val="2"/>
                <c:pt idx="0">
                  <c:v>5</c:v>
                </c:pt>
                <c:pt idx="1">
                  <c:v>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E-536B-444C-AC84-9B2D00672DB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148954272"/>
        <c:axId val="1148960512"/>
      </c:barChart>
      <c:catAx>
        <c:axId val="114895427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48960512"/>
        <c:crosses val="autoZero"/>
        <c:auto val="1"/>
        <c:lblAlgn val="ctr"/>
        <c:lblOffset val="100"/>
        <c:noMultiLvlLbl val="0"/>
      </c:catAx>
      <c:valAx>
        <c:axId val="114896051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4895427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[pivotcharts.xlsx]Sheet3!PivotTable8</c:name>
    <c:fmtId val="0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>
              <a:alpha val="85000"/>
            </a:schemeClr>
          </a:solidFill>
          <a:ln w="9525" cap="flat" cmpd="sng" algn="ctr">
            <a:solidFill>
              <a:schemeClr val="lt1">
                <a:alpha val="50000"/>
              </a:schemeClr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Sheet3!$B$3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>
                <a:alpha val="85000"/>
              </a:schemeClr>
            </a:solidFill>
            <a:ln w="9525" cap="flat" cmpd="sng" algn="ctr">
              <a:solidFill>
                <a:schemeClr val="lt1">
                  <a:alpha val="50000"/>
                </a:schemeClr>
              </a:solidFill>
              <a:round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Sheet3!$A$4:$A$6</c:f>
              <c:strCache>
                <c:ptCount val="2"/>
                <c:pt idx="0">
                  <c:v>No</c:v>
                </c:pt>
                <c:pt idx="1">
                  <c:v>Yes</c:v>
                </c:pt>
              </c:strCache>
            </c:strRef>
          </c:cat>
          <c:val>
            <c:numRef>
              <c:f>Sheet3!$B$4:$B$6</c:f>
              <c:numCache>
                <c:formatCode>General</c:formatCode>
                <c:ptCount val="2"/>
                <c:pt idx="0">
                  <c:v>30457.45</c:v>
                </c:pt>
                <c:pt idx="1">
                  <c:v>29194.749999999993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213-47D0-8472-656EF3DB8D55}"/>
            </c:ext>
          </c:extLst>
        </c:ser>
        <c:dLbls>
          <c:dLblPos val="inEnd"/>
          <c:showLegendKey val="0"/>
          <c:showVal val="1"/>
          <c:showCatName val="0"/>
          <c:showSerName val="0"/>
          <c:showPercent val="0"/>
          <c:showBubbleSize val="0"/>
        </c:dLbls>
        <c:gapWidth val="65"/>
        <c:axId val="1156079216"/>
        <c:axId val="1156070576"/>
      </c:barChart>
      <c:catAx>
        <c:axId val="115607921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9050" cap="flat" cmpd="sng" algn="ctr">
            <a:solidFill>
              <a:schemeClr val="dk1">
                <a:lumMod val="75000"/>
                <a:lumOff val="2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all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56070576"/>
        <c:crosses val="autoZero"/>
        <c:auto val="1"/>
        <c:lblAlgn val="ctr"/>
        <c:lblOffset val="100"/>
        <c:noMultiLvlLbl val="0"/>
      </c:catAx>
      <c:valAx>
        <c:axId val="1156070576"/>
        <c:scaling>
          <c:orientation val="minMax"/>
        </c:scaling>
        <c:delete val="1"/>
        <c:axPos val="l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95000"/>
                      <a:lumOff val="5000"/>
                      <a:alpha val="42000"/>
                    </a:schemeClr>
                  </a:gs>
                  <a:gs pos="0">
                    <a:schemeClr val="lt1">
                      <a:lumMod val="75000"/>
                      <a:alpha val="36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crossAx val="115607921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[pivotcharts.xlsx]Sheet1!PivotTable1</c:name>
    <c:fmtId val="7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500" b="1" i="0" u="none" strike="noStrike" kern="1200" cap="all" spc="100" normalizeH="0" baseline="0">
              <a:solidFill>
                <a:schemeClr val="lt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pattFill prst="ltUpDiag">
            <a:fgClr>
              <a:schemeClr val="accent1"/>
            </a:fgClr>
            <a:bgClr>
              <a:schemeClr val="lt1"/>
            </a:bgClr>
          </a:pattFill>
          <a:ln>
            <a:noFill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22225">
              <a:solidFill>
                <a:schemeClr val="lt1"/>
              </a:solidFill>
              <a:round/>
            </a:ln>
            <a:effectLst/>
          </c:spPr>
        </c:marker>
        <c:dLbl>
          <c:idx val="0"/>
          <c:spPr>
            <a:solidFill>
              <a:srgbClr val="4472C4">
                <a:alpha val="70000"/>
              </a:srgbClr>
            </a:solidFill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pattFill prst="ltUpDiag">
            <a:fgClr>
              <a:schemeClr val="accent1"/>
            </a:fgClr>
            <a:bgClr>
              <a:schemeClr val="lt1"/>
            </a:bgClr>
          </a:pattFill>
          <a:ln>
            <a:noFill/>
          </a:ln>
          <a:effectLst/>
        </c:spPr>
        <c:marker>
          <c:symbol val="none"/>
        </c:marker>
        <c:dLbl>
          <c:idx val="0"/>
          <c:spPr>
            <a:solidFill>
              <a:srgbClr val="4472C4">
                <a:alpha val="70000"/>
              </a:srgbClr>
            </a:solidFill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Sheet1!$X$15</c:f>
              <c:strCache>
                <c:ptCount val="1"/>
                <c:pt idx="0">
                  <c:v>Total</c:v>
                </c:pt>
              </c:strCache>
            </c:strRef>
          </c:tx>
          <c:spPr>
            <a:pattFill prst="ltUpDiag">
              <a:fgClr>
                <a:schemeClr val="accent1"/>
              </a:fgClr>
              <a:bgClr>
                <a:schemeClr val="lt1"/>
              </a:bgClr>
            </a:pattFill>
            <a:ln>
              <a:noFill/>
            </a:ln>
            <a:effectLst/>
          </c:spPr>
          <c:invertIfNegative val="0"/>
          <c:cat>
            <c:multiLvlStrRef>
              <c:f>Sheet1!$W$16:$W$18</c:f>
              <c:multiLvlStrCache>
                <c:ptCount val="1"/>
                <c:lvl>
                  <c:pt idx="0">
                    <c:v>Male</c:v>
                  </c:pt>
                </c:lvl>
                <c:lvl>
                  <c:pt idx="0">
                    <c:v>Yes</c:v>
                  </c:pt>
                </c:lvl>
              </c:multiLvlStrCache>
            </c:multiLvlStrRef>
          </c:cat>
          <c:val>
            <c:numRef>
              <c:f>Sheet1!$X$16:$X$18</c:f>
              <c:numCache>
                <c:formatCode>General</c:formatCode>
                <c:ptCount val="1"/>
                <c:pt idx="0">
                  <c:v>14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79A-49CE-B977-55F4CF893D4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69"/>
        <c:overlap val="-20"/>
        <c:axId val="1014461408"/>
        <c:axId val="1014474368"/>
      </c:barChart>
      <c:catAx>
        <c:axId val="101446140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lt1">
                  <a:alpha val="2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3175" cap="flat" cmpd="sng" algn="ctr">
            <a:solidFill>
              <a:schemeClr val="accent1">
                <a:lumMod val="60000"/>
                <a:lumOff val="40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cap="all" spc="150" normalizeH="0" baseline="0">
                <a:solidFill>
                  <a:schemeClr val="lt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14474368"/>
        <c:crosses val="autoZero"/>
        <c:auto val="1"/>
        <c:lblAlgn val="ctr"/>
        <c:lblOffset val="100"/>
        <c:noMultiLvlLbl val="0"/>
      </c:catAx>
      <c:valAx>
        <c:axId val="1014474368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1446140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accent1"/>
    </a:solidFill>
    <a:ln w="9525" cap="flat" cmpd="sng" algn="ctr">
      <a:solidFill>
        <a:schemeClr val="accent1"/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Ex1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strDim type="cat">
        <cx:f>_xlchart.v1.0</cx:f>
      </cx:strDim>
      <cx:numDim type="val">
        <cx:f>_xlchart.v1.2</cx:f>
      </cx:numDim>
    </cx:data>
  </cx:chartData>
  <cx:chart>
    <cx:title pos="t" align="ctr" overlay="0">
      <cx:tx>
        <cx:txData>
          <cx:v>monthly charge</cx:v>
        </cx:txData>
      </cx:tx>
      <cx:txPr>
        <a:bodyPr spcFirstLastPara="1" vertOverflow="ellipsis" horzOverflow="overflow" wrap="square" lIns="0" tIns="0" rIns="0" bIns="0" anchor="ctr" anchorCtr="1"/>
        <a:lstStyle/>
        <a:p>
          <a:pPr algn="ctr" rtl="0">
            <a:defRPr/>
          </a:pPr>
          <a:r>
            <a:rPr lang="en-US" sz="1600" b="1" i="0" u="none" strike="noStrike" spc="100" baseline="0">
              <a:solidFill>
                <a:sysClr val="window" lastClr="FFFFFF">
                  <a:lumMod val="95000"/>
                </a:sys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Calibri" panose="020F0502020204030204"/>
            </a:rPr>
            <a:t>monthly charge</a:t>
          </a:r>
        </a:p>
      </cx:txPr>
    </cx:title>
    <cx:plotArea>
      <cx:plotAreaRegion>
        <cx:series layoutId="clusteredColumn" uniqueId="{10D23BF1-4032-4811-AD67-069561DA2FF0}">
          <cx:tx>
            <cx:txData>
              <cx:f>_xlchart.v1.1</cx:f>
              <cx:v>MonthlyCharges</cx:v>
            </cx:txData>
          </cx:tx>
          <cx:dataId val="0"/>
          <cx:layoutPr>
            <cx:aggregation/>
          </cx:layoutPr>
          <cx:axisId val="1"/>
        </cx:series>
        <cx:series layoutId="paretoLine" ownerIdx="0" uniqueId="{46DE1DDD-EF96-45DF-839E-CD678E13993C}">
          <cx:axisId val="2"/>
        </cx:series>
      </cx:plotAreaRegion>
      <cx:axis id="0">
        <cx:catScaling gapWidth="0"/>
        <cx:tickLabels/>
      </cx:axis>
      <cx:axis id="1">
        <cx:valScaling/>
        <cx:majorGridlines/>
        <cx:tickLabels/>
      </cx:axis>
      <cx:axis id="2">
        <cx:valScaling max="1" min="0"/>
        <cx:units unit="percentage"/>
        <cx:tickLabels/>
      </cx:axis>
    </cx:plotArea>
  </cx:chart>
</cx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5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defRPr sz="9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solidFill>
        <a:schemeClr val="dk1">
          <a:lumMod val="65000"/>
          <a:lumOff val="35000"/>
          <a:alpha val="75000"/>
        </a:schemeClr>
      </a:solidFill>
    </cs:spPr>
    <cs:defRPr sz="900" b="1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214">
  <cs:axisTitle>
    <cs:lnRef idx="0"/>
    <cs:fillRef idx="0"/>
    <cs:effectRef idx="0"/>
    <cs:fontRef idx="minor">
      <a:schemeClr val="lt1"/>
    </cs:fontRef>
    <cs:defRPr sz="900" b="1" kern="1200"/>
  </cs:axisTitle>
  <cs:categoryAxis>
    <cs:lnRef idx="0">
      <cs:styleClr val="0"/>
    </cs:lnRef>
    <cs:fillRef idx="0"/>
    <cs:effectRef idx="0"/>
    <cs:fontRef idx="minor">
      <a:schemeClr val="lt1"/>
    </cs:fontRef>
    <cs:spPr>
      <a:ln w="3175" cap="flat" cmpd="sng" algn="ctr">
        <a:solidFill>
          <a:schemeClr val="phClr">
            <a:lumMod val="60000"/>
            <a:lumOff val="40000"/>
          </a:schemeClr>
        </a:solidFill>
        <a:round/>
      </a:ln>
    </cs:spPr>
    <cs:defRPr sz="800" kern="1200" cap="all" spc="150" normalizeH="0" baseline="0"/>
  </cs:categoryAxis>
  <cs:chartArea>
    <cs:lnRef idx="0">
      <cs:styleClr val="0"/>
    </cs:lnRef>
    <cs:fillRef idx="0">
      <cs:styleClr val="0"/>
    </cs:fillRef>
    <cs:effectRef idx="0"/>
    <cs:fontRef idx="minor">
      <a:schemeClr val="dk1"/>
    </cs:fontRef>
    <cs:spPr>
      <a:solidFill>
        <a:schemeClr val="phClr"/>
      </a:solidFill>
      <a:ln w="9525" cap="flat" cmpd="sng" algn="ctr">
        <a:solidFill>
          <a:schemeClr val="phClr"/>
        </a:solidFill>
        <a:round/>
      </a:ln>
    </cs:spPr>
    <cs:defRPr sz="1000" kern="1200"/>
  </cs:chartArea>
  <cs:dataLabel>
    <cs:lnRef idx="0"/>
    <cs:fillRef idx="0">
      <cs:styleClr val="auto"/>
    </cs:fillRef>
    <cs:effectRef idx="0"/>
    <cs:fontRef idx="minor">
      <a:schemeClr val="lt1"/>
    </cs:fontRef>
    <cs:spPr>
      <a:solidFill>
        <a:schemeClr val="phClr">
          <a:alpha val="70000"/>
        </a:schemeClr>
      </a:solidFill>
    </cs:spPr>
    <cs:defRPr sz="900" kern="1200"/>
  </cs:dataLabel>
  <cs:dataLabelCallout>
    <cs:lnRef idx="0">
      <cs:styleClr val="auto"/>
    </cs:lnRef>
    <cs:fillRef idx="0"/>
    <cs:effectRef idx="0"/>
    <cs:fontRef idx="minor">
      <cs:styleClr val="auto"/>
    </cs:fontRef>
    <cs:spPr>
      <a:solidFill>
        <a:schemeClr val="lt1"/>
      </a:solidFill>
      <a:ln>
        <a:solidFill>
          <a:schemeClr val="phClr"/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pattFill prst="ltUpDiag">
        <a:fgClr>
          <a:schemeClr val="phClr"/>
        </a:fgClr>
        <a:bgClr>
          <a:schemeClr val="lt1"/>
        </a:bgClr>
      </a:patt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pattFill prst="ltUpDiag">
        <a:fgClr>
          <a:schemeClr val="phClr"/>
        </a:fgClr>
        <a:bgClr>
          <a:schemeClr val="lt1"/>
        </a:bgClr>
      </a:pattFill>
    </cs:spPr>
  </cs:dataPoint3D>
  <cs:dataPointLine>
    <cs:lnRef idx="0">
      <cs:styleClr val="auto"/>
    </cs:lnRef>
    <cs:fillRef idx="0"/>
    <cs:effectRef idx="0">
      <cs:styleClr val="auto"/>
    </cs:effectRef>
    <cs:fontRef idx="minor">
      <a:schemeClr val="dk1"/>
    </cs:fontRef>
    <cs:spPr>
      <a:ln w="34925" cap="rnd">
        <a:solidFill>
          <a:schemeClr val="lt1"/>
        </a:solidFill>
        <a:round/>
      </a:ln>
      <a:effectLst>
        <a:outerShdw dist="25400" dir="2700000" algn="tl" rotWithShape="0">
          <a:schemeClr val="phClr"/>
        </a:outerShdw>
      </a:effectLst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22225">
        <a:solidFill>
          <a:schemeClr val="lt1"/>
        </a:solidFill>
        <a:round/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>
      <cs:styleClr val="0"/>
    </cs:lnRef>
    <cs:fillRef idx="0"/>
    <cs:effectRef idx="0"/>
    <cs:fontRef idx="minor">
      <a:schemeClr val="lt1"/>
    </cs:fontRef>
    <cs:spPr>
      <a:ln w="9525">
        <a:solidFill>
          <a:schemeClr val="phClr">
            <a:lumMod val="60000"/>
            <a:lumOff val="40000"/>
          </a:schemeClr>
        </a:solidFill>
      </a:ln>
    </cs:spPr>
    <cs:defRPr sz="900" kern="1200"/>
  </cs:dataTable>
  <cs:downBar>
    <cs:lnRef idx="0">
      <cs:styleClr val="0"/>
    </cs:lnRef>
    <cs:fillRef idx="0"/>
    <cs:effectRef idx="0"/>
    <cs:fontRef idx="minor">
      <a:schemeClr val="dk1"/>
    </cs:fontRef>
    <cs:spPr>
      <a:solidFill>
        <a:schemeClr val="dk1">
          <a:lumMod val="35000"/>
          <a:lumOff val="65000"/>
        </a:schemeClr>
      </a:solidFill>
      <a:ln w="9525">
        <a:solidFill>
          <a:schemeClr val="phClr">
            <a:lumMod val="60000"/>
            <a:lumOff val="40000"/>
          </a:schemeClr>
        </a:solidFill>
      </a:ln>
    </cs:spPr>
  </cs:downBar>
  <cs:dropLine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</a:schemeClr>
        </a:solidFill>
        <a:prstDash val="dash"/>
      </a:ln>
    </cs:spPr>
  </cs:dropLine>
  <cs:errorBar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</a:schemeClr>
        </a:solidFill>
        <a:round/>
      </a:ln>
      <a:effectLst>
        <a:glow rad="25400">
          <a:schemeClr val="lt1"/>
        </a:glow>
      </a:effectLst>
    </cs:spPr>
  </cs:errorBar>
  <cs:floor>
    <cs:lnRef idx="0"/>
    <cs:fillRef idx="0"/>
    <cs:effectRef idx="0"/>
    <cs:fontRef idx="minor">
      <a:schemeClr val="dk1"/>
    </cs:fontRef>
  </cs:floor>
  <cs:gridlineMajor>
    <cs:lnRef idx="0">
      <cs:styleClr val="0"/>
    </cs:lnRef>
    <cs:fillRef idx="0"/>
    <cs:effectRef idx="0"/>
    <cs:fontRef idx="minor">
      <a:schemeClr val="dk1"/>
    </cs:fontRef>
    <cs:spPr>
      <a:ln w="9525" cap="flat" cmpd="sng" algn="ctr">
        <a:solidFill>
          <a:schemeClr val="lt1">
            <a:alpha val="25000"/>
          </a:schemeClr>
        </a:solidFill>
        <a:round/>
      </a:ln>
    </cs:spPr>
  </cs:gridlineMajor>
  <cs:gridlineMinor>
    <cs:lnRef idx="0">
      <cs:styleClr val="0"/>
    </cs:lnRef>
    <cs:fillRef idx="0"/>
    <cs:effectRef idx="0"/>
    <cs:fontRef idx="minor">
      <a:schemeClr val="dk1"/>
    </cs:fontRef>
    <cs:spPr>
      <a:ln>
        <a:solidFill>
          <a:schemeClr val="lt1">
            <a:alpha val="10000"/>
          </a:schemeClr>
        </a:solidFill>
      </a:ln>
    </cs:spPr>
  </cs:gridlineMinor>
  <cs:hiLoLine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</a:schemeClr>
        </a:solidFill>
        <a:prstDash val="dash"/>
      </a:ln>
    </cs:spPr>
  </cs:hiLoLine>
  <cs:leaderLine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</a:schemeClr>
        </a:solidFill>
      </a:ln>
    </cs:spPr>
  </cs:leaderLine>
  <cs:legend>
    <cs:lnRef idx="0"/>
    <cs:fillRef idx="0"/>
    <cs:effectRef idx="0"/>
    <cs:fontRef idx="minor">
      <a:schemeClr val="lt1"/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>
      <cs:styleClr val="0"/>
    </cs:lnRef>
    <cs:fillRef idx="0"/>
    <cs:effectRef idx="0"/>
    <cs:fontRef idx="minor">
      <a:schemeClr val="lt1"/>
    </cs:fontRef>
    <cs:spPr>
      <a:ln w="3175" cap="flat" cmpd="sng" algn="ctr">
        <a:solidFill>
          <a:schemeClr val="phClr">
            <a:lumMod val="60000"/>
            <a:lumOff val="40000"/>
          </a:schemeClr>
        </a:solidFill>
        <a:round/>
      </a:ln>
    </cs:spPr>
    <cs:defRPr sz="900" kern="1200"/>
  </cs:seriesAxis>
  <cs:seriesLine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  <a:tint val="50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lt1"/>
    </cs:fontRef>
    <cs:defRPr sz="1500" b="1" kern="1200" cap="all" spc="100" normalizeH="0" baseline="0"/>
  </cs:title>
  <cs:trendline>
    <cs:lnRef idx="0"/>
    <cs:fillRef idx="0"/>
    <cs:effectRef idx="0"/>
    <cs:fontRef idx="minor">
      <a:schemeClr val="dk1"/>
    </cs:fontRef>
    <cs:spPr>
      <a:ln w="28575" cap="rnd">
        <a:solidFill>
          <a:schemeClr val="lt1">
            <a:alpha val="50000"/>
          </a:schemeClr>
        </a:solidFill>
        <a:round/>
      </a:ln>
    </cs:spPr>
  </cs:trendline>
  <cs:trendlineLabel>
    <cs:lnRef idx="0"/>
    <cs:fillRef idx="0"/>
    <cs:effectRef idx="0"/>
    <cs:fontRef idx="minor">
      <a:schemeClr val="lt1"/>
    </cs:fontRef>
    <cs:defRPr sz="900" kern="1200"/>
  </cs:trendlineLabel>
  <cs:upBar>
    <cs:lnRef idx="0">
      <cs:styleClr val="0"/>
    </cs:lnRef>
    <cs:fillRef idx="0"/>
    <cs:effectRef idx="0"/>
    <cs:fontRef idx="minor">
      <a:schemeClr val="dk1"/>
    </cs:fontRef>
    <cs:spPr>
      <a:solidFill>
        <a:schemeClr val="lt1">
          <a:lumMod val="95000"/>
        </a:schemeClr>
      </a:solidFill>
      <a:ln w="9525">
        <a:solidFill>
          <a:schemeClr val="phClr">
            <a:lumMod val="60000"/>
            <a:lumOff val="40000"/>
          </a:schemeClr>
        </a:solidFill>
      </a:ln>
    </cs:spPr>
  </cs:upBar>
  <cs:valueAxis>
    <cs:lnRef idx="0"/>
    <cs:fillRef idx="0"/>
    <cs:effectRef idx="0"/>
    <cs:fontRef idx="minor">
      <a:schemeClr val="lt1"/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4.xml><?xml version="1.0" encoding="utf-8"?>
<cs:chartStyle xmlns:cs="http://schemas.microsoft.com/office/drawing/2012/chartStyle" xmlns:a="http://schemas.openxmlformats.org/drawingml/2006/main" id="370">
  <cs:axisTitle>
    <cs:lnRef idx="0"/>
    <cs:fillRef idx="0"/>
    <cs:effectRef idx="0"/>
    <cs:fontRef idx="minor">
      <a:schemeClr val="lt1">
        <a:lumMod val="95000"/>
      </a:schemeClr>
    </cs:fontRef>
    <cs:defRPr sz="900"/>
  </cs:axisTitle>
  <cs:categoryAxis>
    <cs:lnRef idx="0"/>
    <cs:fillRef idx="0"/>
    <cs:effectRef idx="0"/>
    <cs:fontRef idx="minor">
      <a:schemeClr val="lt1">
        <a:lumMod val="9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/>
  </cs:chartArea>
  <cs:dataLabel>
    <cs:lnRef idx="0"/>
    <cs:fillRef idx="0"/>
    <cs:effectRef idx="0"/>
    <cs:fontRef idx="minor">
      <a:schemeClr val="lt1">
        <a:lumMod val="9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lt1"/>
    </cs:fontRef>
    <cs:spPr>
      <a:gradFill rotWithShape="1">
        <a:gsLst>
          <a:gs pos="0">
            <a:schemeClr val="phClr">
              <a:satMod val="103000"/>
              <a:lumMod val="102000"/>
              <a:tint val="94000"/>
            </a:schemeClr>
          </a:gs>
          <a:gs pos="50000">
            <a:schemeClr val="phClr">
              <a:satMod val="110000"/>
              <a:lumMod val="100000"/>
              <a:shade val="100000"/>
            </a:schemeClr>
          </a:gs>
          <a:gs pos="100000">
            <a:schemeClr val="phClr">
              <a:lumMod val="99000"/>
              <a:satMod val="120000"/>
              <a:shade val="78000"/>
            </a:schemeClr>
          </a:gs>
        </a:gsLst>
        <a:lin ang="5400000" scaled="0"/>
      </a:gradFill>
      <a:ln>
        <a:solidFill>
          <a:schemeClr val="tx1"/>
        </a:solidFill>
      </a:ln>
    </cs:spPr>
  </cs:dataPoint>
  <cs:dataPoint3D>
    <cs:lnRef idx="0"/>
    <cs:fillRef idx="0">
      <cs:styleClr val="auto"/>
    </cs:fillRef>
    <cs:effectRef idx="0"/>
    <cs:fontRef idx="minor">
      <a:schemeClr val="lt1"/>
    </cs:fontRef>
    <cs:spPr>
      <a:solidFill>
        <a:schemeClr val="phClr"/>
      </a:solidFill>
    </cs:spPr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lt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lt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9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lt1"/>
    </cs:fontRef>
    <cs:spPr>
      <a:ln>
        <a:solidFill>
          <a:schemeClr val="lt1">
            <a:lumMod val="95000"/>
            <a:alpha val="10000"/>
            <a:lumOff val="10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95000"/>
      </a:schemeClr>
    </cs:fontRef>
    <cs:defRPr sz="9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lt1">
        <a:lumMod val="9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lt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spc="10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lt1">
        <a:lumMod val="95000"/>
      </a:schemeClr>
    </cs:fontRef>
    <cs:defRPr sz="9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95000"/>
      </a:schemeClr>
    </cs:fontRef>
    <cs:defRPr sz="900"/>
  </cs:valueAxis>
  <cs:wall>
    <cs:lnRef idx="0"/>
    <cs:fillRef idx="0"/>
    <cs:effectRef idx="0"/>
    <cs:fontRef idx="minor">
      <a:schemeClr val="lt1"/>
    </cs:fontRef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2" Type="http://schemas.microsoft.com/office/2014/relationships/chartEx" Target="../charts/chartEx1.xml"/><Relationship Id="rId1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0</xdr:colOff>
      <xdr:row>1</xdr:row>
      <xdr:rowOff>0</xdr:rowOff>
    </xdr:from>
    <xdr:to>
      <xdr:col>11</xdr:col>
      <xdr:colOff>304800</xdr:colOff>
      <xdr:row>15</xdr:row>
      <xdr:rowOff>76200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B1305B14-0503-0E0C-5959-FA3026DCDC9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228600</xdr:colOff>
      <xdr:row>6</xdr:row>
      <xdr:rowOff>128587</xdr:rowOff>
    </xdr:from>
    <xdr:to>
      <xdr:col>5</xdr:col>
      <xdr:colOff>914400</xdr:colOff>
      <xdr:row>21</xdr:row>
      <xdr:rowOff>14287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339A5905-EDD9-141A-B9F2-86CC89FA802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81852</xdr:colOff>
      <xdr:row>28</xdr:row>
      <xdr:rowOff>85165</xdr:rowOff>
    </xdr:from>
    <xdr:to>
      <xdr:col>8</xdr:col>
      <xdr:colOff>355665</xdr:colOff>
      <xdr:row>42</xdr:row>
      <xdr:rowOff>161365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8A95045E-769E-858F-A4CF-2C2A2522C7A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9</xdr:col>
      <xdr:colOff>565896</xdr:colOff>
      <xdr:row>28</xdr:row>
      <xdr:rowOff>124385</xdr:rowOff>
    </xdr:from>
    <xdr:to>
      <xdr:col>17</xdr:col>
      <xdr:colOff>296955</xdr:colOff>
      <xdr:row>43</xdr:row>
      <xdr:rowOff>10085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7" name="Chart 6">
              <a:extLst>
                <a:ext uri="{FF2B5EF4-FFF2-40B4-BE49-F238E27FC236}">
                  <a16:creationId xmlns:a16="http://schemas.microsoft.com/office/drawing/2014/main" id="{06D4BE9E-FED2-903B-7D9D-4D2941F30D9D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2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6052296" y="5458385"/>
              <a:ext cx="4607859" cy="27432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IN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MITS" refreshedDate="46177.675576388887" createdVersion="8" refreshedVersion="8" minRefreshableVersion="3" recordCount="27" xr:uid="{8C099273-F4F2-47DF-B7E2-2F10FAC7C9DB}">
  <cacheSource type="worksheet">
    <worksheetSource ref="A1:U28" sheet="Sheet1"/>
  </cacheSource>
  <cacheFields count="21">
    <cacheField name="customerID" numFmtId="0">
      <sharedItems count="27">
        <s v="7590-VHVEG"/>
        <s v="5575-GNVDE"/>
        <s v="3668-QPYBK"/>
        <s v="7795-CFOCW"/>
        <s v="9237-HQITU"/>
        <s v="9305-CDSKC"/>
        <s v="1452-KIOVK"/>
        <s v="6713-OKOMC"/>
        <s v="7892-POOKP"/>
        <s v="6388-TABGU"/>
        <s v="9763-GRSKD"/>
        <s v="7469-LKBCI"/>
        <s v="8091-TTVAX"/>
        <s v="0280-XJGEX"/>
        <s v="5129-JLPIS"/>
        <s v="3655-SNQYZ"/>
        <s v="8191-XWSZG"/>
        <s v="9959-WOFKT"/>
        <s v="4190-MFLUW"/>
        <s v="4183-MYFRB"/>
        <s v="8779-QRDMV"/>
        <s v="1680-VDCWW"/>
        <s v="1066-JKSGK"/>
        <s v="3638-WEABW"/>
        <s v="6322-HRPFA"/>
        <s v="6865-JZNKO"/>
        <s v="6467-CHFZW"/>
      </sharedItems>
    </cacheField>
    <cacheField name="gender" numFmtId="0">
      <sharedItems count="2">
        <s v="Female"/>
        <s v="Male"/>
      </sharedItems>
    </cacheField>
    <cacheField name="SeniorCitizen" numFmtId="0">
      <sharedItems containsSemiMixedTypes="0" containsString="0" containsNumber="1" containsInteger="1" minValue="0" maxValue="1" count="2">
        <n v="0"/>
        <n v="1"/>
      </sharedItems>
    </cacheField>
    <cacheField name="Partner" numFmtId="0">
      <sharedItems count="2">
        <s v="Yes"/>
        <s v="No"/>
      </sharedItems>
    </cacheField>
    <cacheField name="Dependents" numFmtId="0">
      <sharedItems count="2">
        <s v="No"/>
        <s v="Yes"/>
      </sharedItems>
    </cacheField>
    <cacheField name="tenure" numFmtId="0">
      <sharedItems containsSemiMixedTypes="0" containsString="0" containsNumber="1" containsInteger="1" minValue="1" maxValue="71"/>
    </cacheField>
    <cacheField name="PhoneService" numFmtId="0">
      <sharedItems count="2">
        <s v="No"/>
        <s v="Yes"/>
      </sharedItems>
    </cacheField>
    <cacheField name="MultipleLines" numFmtId="0">
      <sharedItems/>
    </cacheField>
    <cacheField name="InternetService" numFmtId="0">
      <sharedItems/>
    </cacheField>
    <cacheField name="OnlineSecurity" numFmtId="0">
      <sharedItems/>
    </cacheField>
    <cacheField name="OnlineBackup" numFmtId="0">
      <sharedItems/>
    </cacheField>
    <cacheField name="DeviceProtection" numFmtId="0">
      <sharedItems count="3">
        <s v="No"/>
        <s v="Yes"/>
        <s v="No internet service"/>
      </sharedItems>
    </cacheField>
    <cacheField name="TechSupport" numFmtId="0">
      <sharedItems/>
    </cacheField>
    <cacheField name="StreamingTV" numFmtId="0">
      <sharedItems count="3">
        <s v="No"/>
        <s v="Yes"/>
        <s v="No internet service"/>
      </sharedItems>
    </cacheField>
    <cacheField name="StreamingMovies" numFmtId="0">
      <sharedItems count="3">
        <s v="No"/>
        <s v="Yes"/>
        <s v="No internet service"/>
      </sharedItems>
    </cacheField>
    <cacheField name="Contract" numFmtId="0">
      <sharedItems/>
    </cacheField>
    <cacheField name="PaperlessBilling" numFmtId="0">
      <sharedItems count="2">
        <s v="Yes"/>
        <s v="No"/>
      </sharedItems>
    </cacheField>
    <cacheField name="PaymentMethod" numFmtId="0">
      <sharedItems/>
    </cacheField>
    <cacheField name="MonthlyCharges" numFmtId="0">
      <sharedItems containsSemiMixedTypes="0" containsString="0" containsNumber="1" minValue="18.95" maxValue="113.25"/>
    </cacheField>
    <cacheField name="TotalCharges" numFmtId="0">
      <sharedItems containsSemiMixedTypes="0" containsString="0" containsNumber="1" minValue="20.149999999999999" maxValue="7895.15"/>
    </cacheField>
    <cacheField name="Churn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7">
  <r>
    <x v="0"/>
    <x v="0"/>
    <x v="0"/>
    <x v="0"/>
    <x v="0"/>
    <n v="1"/>
    <x v="0"/>
    <s v="No phone service"/>
    <s v="DSL"/>
    <s v="No"/>
    <s v="Yes"/>
    <x v="0"/>
    <s v="No"/>
    <x v="0"/>
    <x v="0"/>
    <s v="Month-to-month"/>
    <x v="0"/>
    <s v="Electronic check"/>
    <n v="29.85"/>
    <n v="29.85"/>
    <s v="No"/>
  </r>
  <r>
    <x v="1"/>
    <x v="1"/>
    <x v="0"/>
    <x v="1"/>
    <x v="0"/>
    <n v="34"/>
    <x v="1"/>
    <s v="No"/>
    <s v="DSL"/>
    <s v="Yes"/>
    <s v="No"/>
    <x v="1"/>
    <s v="No"/>
    <x v="0"/>
    <x v="0"/>
    <s v="One year"/>
    <x v="1"/>
    <s v="Mailed check"/>
    <n v="56.95"/>
    <n v="1889.5"/>
    <s v="No"/>
  </r>
  <r>
    <x v="2"/>
    <x v="1"/>
    <x v="0"/>
    <x v="1"/>
    <x v="0"/>
    <n v="2"/>
    <x v="1"/>
    <s v="No"/>
    <s v="DSL"/>
    <s v="Yes"/>
    <s v="Yes"/>
    <x v="0"/>
    <s v="No"/>
    <x v="0"/>
    <x v="0"/>
    <s v="Month-to-month"/>
    <x v="0"/>
    <s v="Mailed check"/>
    <n v="53.85"/>
    <n v="108.15"/>
    <s v="Yes"/>
  </r>
  <r>
    <x v="3"/>
    <x v="1"/>
    <x v="0"/>
    <x v="1"/>
    <x v="0"/>
    <n v="45"/>
    <x v="0"/>
    <s v="No phone service"/>
    <s v="DSL"/>
    <s v="Yes"/>
    <s v="No"/>
    <x v="1"/>
    <s v="Yes"/>
    <x v="0"/>
    <x v="0"/>
    <s v="One year"/>
    <x v="1"/>
    <s v="Bank transfer (automatic)"/>
    <n v="42.3"/>
    <n v="1840.75"/>
    <s v="No"/>
  </r>
  <r>
    <x v="4"/>
    <x v="0"/>
    <x v="0"/>
    <x v="1"/>
    <x v="0"/>
    <n v="2"/>
    <x v="1"/>
    <s v="No"/>
    <s v="Fiber optic"/>
    <s v="No"/>
    <s v="No"/>
    <x v="0"/>
    <s v="No"/>
    <x v="0"/>
    <x v="0"/>
    <s v="Month-to-month"/>
    <x v="0"/>
    <s v="Electronic check"/>
    <n v="70.7"/>
    <n v="151.65"/>
    <s v="Yes"/>
  </r>
  <r>
    <x v="5"/>
    <x v="0"/>
    <x v="0"/>
    <x v="1"/>
    <x v="0"/>
    <n v="8"/>
    <x v="1"/>
    <s v="Yes"/>
    <s v="Fiber optic"/>
    <s v="No"/>
    <s v="No"/>
    <x v="1"/>
    <s v="No"/>
    <x v="1"/>
    <x v="1"/>
    <s v="Month-to-month"/>
    <x v="0"/>
    <s v="Electronic check"/>
    <n v="99.65"/>
    <n v="820.5"/>
    <s v="Yes"/>
  </r>
  <r>
    <x v="6"/>
    <x v="1"/>
    <x v="0"/>
    <x v="1"/>
    <x v="1"/>
    <n v="22"/>
    <x v="1"/>
    <s v="Yes"/>
    <s v="Fiber optic"/>
    <s v="No"/>
    <s v="Yes"/>
    <x v="0"/>
    <s v="No"/>
    <x v="1"/>
    <x v="0"/>
    <s v="Month-to-month"/>
    <x v="0"/>
    <s v="Credit card (automatic)"/>
    <n v="89.1"/>
    <n v="1949.4"/>
    <s v="No"/>
  </r>
  <r>
    <x v="7"/>
    <x v="0"/>
    <x v="0"/>
    <x v="1"/>
    <x v="0"/>
    <n v="10"/>
    <x v="0"/>
    <s v="No phone service"/>
    <s v="DSL"/>
    <s v="Yes"/>
    <s v="No"/>
    <x v="0"/>
    <s v="No"/>
    <x v="0"/>
    <x v="0"/>
    <s v="Month-to-month"/>
    <x v="1"/>
    <s v="Mailed check"/>
    <n v="29.75"/>
    <n v="301.89999999999998"/>
    <s v="No"/>
  </r>
  <r>
    <x v="8"/>
    <x v="0"/>
    <x v="0"/>
    <x v="0"/>
    <x v="0"/>
    <n v="28"/>
    <x v="1"/>
    <s v="Yes"/>
    <s v="Fiber optic"/>
    <s v="No"/>
    <s v="No"/>
    <x v="1"/>
    <s v="Yes"/>
    <x v="1"/>
    <x v="1"/>
    <s v="Month-to-month"/>
    <x v="0"/>
    <s v="Electronic check"/>
    <n v="104.8"/>
    <n v="3046.05"/>
    <s v="Yes"/>
  </r>
  <r>
    <x v="9"/>
    <x v="1"/>
    <x v="0"/>
    <x v="1"/>
    <x v="1"/>
    <n v="62"/>
    <x v="1"/>
    <s v="No"/>
    <s v="DSL"/>
    <s v="Yes"/>
    <s v="Yes"/>
    <x v="0"/>
    <s v="No"/>
    <x v="0"/>
    <x v="0"/>
    <s v="One year"/>
    <x v="1"/>
    <s v="Bank transfer (automatic)"/>
    <n v="56.15"/>
    <n v="3487.95"/>
    <s v="No"/>
  </r>
  <r>
    <x v="10"/>
    <x v="1"/>
    <x v="0"/>
    <x v="0"/>
    <x v="1"/>
    <n v="13"/>
    <x v="1"/>
    <s v="No"/>
    <s v="DSL"/>
    <s v="Yes"/>
    <s v="No"/>
    <x v="0"/>
    <s v="No"/>
    <x v="0"/>
    <x v="0"/>
    <s v="Month-to-month"/>
    <x v="0"/>
    <s v="Mailed check"/>
    <n v="49.95"/>
    <n v="587.45000000000005"/>
    <s v="No"/>
  </r>
  <r>
    <x v="11"/>
    <x v="1"/>
    <x v="0"/>
    <x v="1"/>
    <x v="0"/>
    <n v="16"/>
    <x v="1"/>
    <s v="No"/>
    <s v="No"/>
    <s v="No internet service"/>
    <s v="No internet service"/>
    <x v="2"/>
    <s v="No internet service"/>
    <x v="2"/>
    <x v="2"/>
    <s v="Two year"/>
    <x v="1"/>
    <s v="Credit card (automatic)"/>
    <n v="18.95"/>
    <n v="326.8"/>
    <s v="No"/>
  </r>
  <r>
    <x v="12"/>
    <x v="1"/>
    <x v="0"/>
    <x v="0"/>
    <x v="0"/>
    <n v="58"/>
    <x v="1"/>
    <s v="Yes"/>
    <s v="Fiber optic"/>
    <s v="No"/>
    <s v="No"/>
    <x v="1"/>
    <s v="No"/>
    <x v="1"/>
    <x v="1"/>
    <s v="One year"/>
    <x v="1"/>
    <s v="Credit card (automatic)"/>
    <n v="100.35"/>
    <n v="5681.1"/>
    <s v="No"/>
  </r>
  <r>
    <x v="13"/>
    <x v="1"/>
    <x v="0"/>
    <x v="1"/>
    <x v="0"/>
    <n v="49"/>
    <x v="1"/>
    <s v="Yes"/>
    <s v="Fiber optic"/>
    <s v="No"/>
    <s v="Yes"/>
    <x v="1"/>
    <s v="No"/>
    <x v="1"/>
    <x v="1"/>
    <s v="Month-to-month"/>
    <x v="0"/>
    <s v="Bank transfer (automatic)"/>
    <n v="103.7"/>
    <n v="5036.3"/>
    <s v="Yes"/>
  </r>
  <r>
    <x v="14"/>
    <x v="1"/>
    <x v="0"/>
    <x v="1"/>
    <x v="0"/>
    <n v="25"/>
    <x v="1"/>
    <s v="No"/>
    <s v="Fiber optic"/>
    <s v="Yes"/>
    <s v="No"/>
    <x v="1"/>
    <s v="Yes"/>
    <x v="1"/>
    <x v="1"/>
    <s v="Month-to-month"/>
    <x v="0"/>
    <s v="Electronic check"/>
    <n v="105.5"/>
    <n v="2686.05"/>
    <s v="No"/>
  </r>
  <r>
    <x v="15"/>
    <x v="0"/>
    <x v="0"/>
    <x v="0"/>
    <x v="1"/>
    <n v="69"/>
    <x v="1"/>
    <s v="Yes"/>
    <s v="Fiber optic"/>
    <s v="Yes"/>
    <s v="Yes"/>
    <x v="1"/>
    <s v="Yes"/>
    <x v="1"/>
    <x v="1"/>
    <s v="Two year"/>
    <x v="1"/>
    <s v="Credit card (automatic)"/>
    <n v="113.25"/>
    <n v="7895.15"/>
    <s v="No"/>
  </r>
  <r>
    <x v="16"/>
    <x v="0"/>
    <x v="0"/>
    <x v="1"/>
    <x v="0"/>
    <n v="52"/>
    <x v="1"/>
    <s v="No"/>
    <s v="No"/>
    <s v="No internet service"/>
    <s v="No internet service"/>
    <x v="2"/>
    <s v="No internet service"/>
    <x v="2"/>
    <x v="2"/>
    <s v="One year"/>
    <x v="1"/>
    <s v="Mailed check"/>
    <n v="20.65"/>
    <n v="1022.95"/>
    <s v="No"/>
  </r>
  <r>
    <x v="17"/>
    <x v="1"/>
    <x v="0"/>
    <x v="1"/>
    <x v="1"/>
    <n v="71"/>
    <x v="1"/>
    <s v="Yes"/>
    <s v="Fiber optic"/>
    <s v="Yes"/>
    <s v="No"/>
    <x v="1"/>
    <s v="No"/>
    <x v="1"/>
    <x v="1"/>
    <s v="Two year"/>
    <x v="1"/>
    <s v="Bank transfer (automatic)"/>
    <n v="106.7"/>
    <n v="7382.25"/>
    <s v="No"/>
  </r>
  <r>
    <x v="18"/>
    <x v="0"/>
    <x v="0"/>
    <x v="0"/>
    <x v="1"/>
    <n v="10"/>
    <x v="1"/>
    <s v="No"/>
    <s v="DSL"/>
    <s v="No"/>
    <s v="No"/>
    <x v="1"/>
    <s v="Yes"/>
    <x v="0"/>
    <x v="0"/>
    <s v="Month-to-month"/>
    <x v="1"/>
    <s v="Credit card (automatic)"/>
    <n v="55.2"/>
    <n v="528.35"/>
    <s v="Yes"/>
  </r>
  <r>
    <x v="19"/>
    <x v="0"/>
    <x v="0"/>
    <x v="1"/>
    <x v="0"/>
    <n v="21"/>
    <x v="1"/>
    <s v="No"/>
    <s v="Fiber optic"/>
    <s v="No"/>
    <s v="Yes"/>
    <x v="1"/>
    <s v="No"/>
    <x v="0"/>
    <x v="1"/>
    <s v="Month-to-month"/>
    <x v="0"/>
    <s v="Electronic check"/>
    <n v="90.05"/>
    <n v="1862.9"/>
    <s v="No"/>
  </r>
  <r>
    <x v="20"/>
    <x v="1"/>
    <x v="1"/>
    <x v="1"/>
    <x v="0"/>
    <n v="1"/>
    <x v="0"/>
    <s v="No phone service"/>
    <s v="DSL"/>
    <s v="No"/>
    <s v="No"/>
    <x v="1"/>
    <s v="No"/>
    <x v="0"/>
    <x v="1"/>
    <s v="Month-to-month"/>
    <x v="0"/>
    <s v="Electronic check"/>
    <n v="39.65"/>
    <n v="39.65"/>
    <s v="Yes"/>
  </r>
  <r>
    <x v="21"/>
    <x v="1"/>
    <x v="0"/>
    <x v="0"/>
    <x v="0"/>
    <n v="12"/>
    <x v="1"/>
    <s v="No"/>
    <s v="No"/>
    <s v="No internet service"/>
    <s v="No internet service"/>
    <x v="2"/>
    <s v="No internet service"/>
    <x v="2"/>
    <x v="2"/>
    <s v="One year"/>
    <x v="1"/>
    <s v="Bank transfer (automatic)"/>
    <n v="19.8"/>
    <n v="202.25"/>
    <s v="No"/>
  </r>
  <r>
    <x v="22"/>
    <x v="1"/>
    <x v="0"/>
    <x v="1"/>
    <x v="0"/>
    <n v="1"/>
    <x v="1"/>
    <s v="No"/>
    <s v="No"/>
    <s v="No internet service"/>
    <s v="No internet service"/>
    <x v="2"/>
    <s v="No internet service"/>
    <x v="2"/>
    <x v="2"/>
    <s v="Month-to-month"/>
    <x v="1"/>
    <s v="Mailed check"/>
    <n v="20.149999999999999"/>
    <n v="20.149999999999999"/>
    <s v="Yes"/>
  </r>
  <r>
    <x v="23"/>
    <x v="0"/>
    <x v="0"/>
    <x v="0"/>
    <x v="0"/>
    <n v="58"/>
    <x v="1"/>
    <s v="Yes"/>
    <s v="DSL"/>
    <s v="No"/>
    <s v="Yes"/>
    <x v="0"/>
    <s v="Yes"/>
    <x v="0"/>
    <x v="0"/>
    <s v="Two year"/>
    <x v="0"/>
    <s v="Credit card (automatic)"/>
    <n v="59.9"/>
    <n v="3505.1"/>
    <s v="No"/>
  </r>
  <r>
    <x v="24"/>
    <x v="1"/>
    <x v="0"/>
    <x v="0"/>
    <x v="1"/>
    <n v="49"/>
    <x v="1"/>
    <s v="No"/>
    <s v="DSL"/>
    <s v="Yes"/>
    <s v="Yes"/>
    <x v="0"/>
    <s v="Yes"/>
    <x v="0"/>
    <x v="0"/>
    <s v="Month-to-month"/>
    <x v="1"/>
    <s v="Credit card (automatic)"/>
    <n v="59.6"/>
    <n v="2970.3"/>
    <s v="No"/>
  </r>
  <r>
    <x v="25"/>
    <x v="0"/>
    <x v="0"/>
    <x v="1"/>
    <x v="0"/>
    <n v="30"/>
    <x v="1"/>
    <s v="No"/>
    <s v="DSL"/>
    <s v="Yes"/>
    <s v="Yes"/>
    <x v="0"/>
    <s v="No"/>
    <x v="0"/>
    <x v="0"/>
    <s v="Month-to-month"/>
    <x v="0"/>
    <s v="Bank transfer (automatic)"/>
    <n v="55.3"/>
    <n v="1530.6"/>
    <s v="No"/>
  </r>
  <r>
    <x v="26"/>
    <x v="1"/>
    <x v="0"/>
    <x v="0"/>
    <x v="1"/>
    <n v="47"/>
    <x v="1"/>
    <s v="Yes"/>
    <s v="Fiber optic"/>
    <s v="No"/>
    <s v="Yes"/>
    <x v="0"/>
    <s v="No"/>
    <x v="1"/>
    <x v="1"/>
    <s v="Month-to-month"/>
    <x v="0"/>
    <s v="Electronic check"/>
    <n v="99.35"/>
    <n v="4749.1499999999996"/>
    <s v="Yes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923D4E3-AF5D-44FA-A224-C2766986BAED}" name="PivotTable7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">
  <location ref="A6:G11" firstHeaderRow="1" firstDataRow="3" firstDataCol="1" rowPageCount="1" colPageCount="1"/>
  <pivotFields count="21">
    <pivotField showAll="0">
      <items count="28">
        <item x="13"/>
        <item x="22"/>
        <item x="6"/>
        <item x="21"/>
        <item x="23"/>
        <item x="15"/>
        <item x="2"/>
        <item x="19"/>
        <item x="18"/>
        <item x="14"/>
        <item x="1"/>
        <item x="24"/>
        <item x="9"/>
        <item x="26"/>
        <item x="7"/>
        <item x="25"/>
        <item x="11"/>
        <item x="0"/>
        <item x="3"/>
        <item x="8"/>
        <item x="12"/>
        <item x="16"/>
        <item x="20"/>
        <item x="4"/>
        <item x="5"/>
        <item x="10"/>
        <item x="17"/>
        <item t="default"/>
      </items>
    </pivotField>
    <pivotField dataField="1" showAll="0">
      <items count="3">
        <item x="0"/>
        <item x="1"/>
        <item t="default"/>
      </items>
    </pivotField>
    <pivotField axis="axisPage" showAll="0">
      <items count="3">
        <item x="0"/>
        <item x="1"/>
        <item t="default"/>
      </items>
    </pivotField>
    <pivotField axis="axisCol" showAll="0">
      <items count="3">
        <item x="1"/>
        <item x="0"/>
        <item t="default"/>
      </items>
    </pivotField>
    <pivotField axis="axisRow" showAll="0">
      <items count="3">
        <item x="0"/>
        <item x="1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>
      <items count="4">
        <item x="0"/>
        <item x="2"/>
        <item x="1"/>
        <item t="default"/>
      </items>
    </pivotField>
    <pivotField showAll="0"/>
    <pivotField showAll="0">
      <items count="3">
        <item x="1"/>
        <item x="0"/>
        <item t="default"/>
      </items>
    </pivotField>
    <pivotField showAll="0"/>
    <pivotField showAll="0"/>
    <pivotField showAll="0"/>
    <pivotField showAll="0"/>
  </pivotFields>
  <rowFields count="1">
    <field x="4"/>
  </rowFields>
  <rowItems count="3">
    <i>
      <x/>
    </i>
    <i>
      <x v="1"/>
    </i>
    <i t="grand">
      <x/>
    </i>
  </rowItems>
  <colFields count="2">
    <field x="3"/>
    <field x="-2"/>
  </colFields>
  <colItems count="6">
    <i>
      <x/>
      <x/>
    </i>
    <i r="1" i="1">
      <x v="1"/>
    </i>
    <i>
      <x v="1"/>
      <x/>
    </i>
    <i r="1" i="1">
      <x v="1"/>
    </i>
    <i t="grand">
      <x/>
    </i>
    <i t="grand" i="1">
      <x/>
    </i>
  </colItems>
  <pageFields count="1">
    <pageField fld="2" hier="-1"/>
  </pageFields>
  <dataFields count="2">
    <dataField name="Count of gender" fld="1" subtotal="count" baseField="0" baseItem="0"/>
    <dataField name="Count of StreamingMovies" fld="14" subtotal="count" baseField="0" baseItem="0"/>
  </dataFields>
  <chartFormats count="4">
    <chartFormat chart="0" format="12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0"/>
          </reference>
        </references>
      </pivotArea>
    </chartFormat>
    <chartFormat chart="0" format="13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1"/>
          </reference>
        </references>
      </pivotArea>
    </chartFormat>
    <chartFormat chart="0" format="14" series="1">
      <pivotArea type="data" outline="0" fieldPosition="0">
        <references count="2">
          <reference field="4294967294" count="1" selected="0">
            <x v="1"/>
          </reference>
          <reference field="3" count="1" selected="0">
            <x v="1"/>
          </reference>
        </references>
      </pivotArea>
    </chartFormat>
    <chartFormat chart="0" format="15" series="1">
      <pivotArea type="data" outline="0" fieldPosition="0">
        <references count="2">
          <reference field="4294967294" count="1" selected="0">
            <x v="1"/>
          </reference>
          <reference field="3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6A1B168-9253-4E5A-ADE0-152BD86DF039}" name="PivotTable8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3">
  <location ref="A3:B6" firstHeaderRow="1" firstDataRow="1" firstDataCol="1"/>
  <pivotFields count="21">
    <pivotField showAll="0"/>
    <pivotField showAll="0">
      <items count="3">
        <item x="0"/>
        <item x="1"/>
        <item t="default"/>
      </items>
    </pivotField>
    <pivotField showAll="0"/>
    <pivotField axis="axisRow" showAll="0">
      <items count="3">
        <item x="1"/>
        <item x="0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</pivotFields>
  <rowFields count="1">
    <field x="3"/>
  </rowFields>
  <rowItems count="3">
    <i>
      <x/>
    </i>
    <i>
      <x v="1"/>
    </i>
    <i t="grand">
      <x/>
    </i>
  </rowItems>
  <colItems count="1">
    <i/>
  </colItems>
  <dataFields count="1">
    <dataField name="Sum of TotalCharges" fld="19" baseField="0" baseItem="0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C7F5207-4D23-4707-9222-D66ED3288BE9}" name="PivotTable9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D7" firstHeaderRow="1" firstDataRow="2" firstDataCol="1"/>
  <pivotFields count="21">
    <pivotField showAll="0"/>
    <pivotField showAll="0"/>
    <pivotField showAll="0"/>
    <pivotField axis="axisCol" showAll="0">
      <items count="3">
        <item x="1"/>
        <item x="0"/>
        <item t="default"/>
      </items>
    </pivotField>
    <pivotField axis="axisRow" showAll="0">
      <items count="3">
        <item x="0"/>
        <item x="1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</pivotFields>
  <rowFields count="1">
    <field x="4"/>
  </rowFields>
  <rowItems count="3">
    <i>
      <x/>
    </i>
    <i>
      <x v="1"/>
    </i>
    <i t="grand">
      <x/>
    </i>
  </rowItems>
  <colFields count="1">
    <field x="3"/>
  </colFields>
  <colItems count="3">
    <i>
      <x/>
    </i>
    <i>
      <x v="1"/>
    </i>
    <i t="grand">
      <x/>
    </i>
  </colItems>
  <dataFields count="1">
    <dataField name="Sum of TotalCharges" fld="19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E9188FA-97DF-47EE-A7B1-A638BB35A966}" name="PivotTable1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9">
  <location ref="W15:X18" firstHeaderRow="1" firstDataRow="1" firstDataCol="1"/>
  <pivotFields count="21">
    <pivotField showAll="0">
      <items count="28">
        <item x="13"/>
        <item x="22"/>
        <item x="6"/>
        <item x="21"/>
        <item x="23"/>
        <item x="15"/>
        <item x="2"/>
        <item x="19"/>
        <item x="18"/>
        <item x="14"/>
        <item x="1"/>
        <item x="24"/>
        <item x="9"/>
        <item x="26"/>
        <item x="7"/>
        <item x="25"/>
        <item x="11"/>
        <item x="0"/>
        <item x="3"/>
        <item x="8"/>
        <item x="12"/>
        <item x="16"/>
        <item x="20"/>
        <item x="4"/>
        <item x="5"/>
        <item x="10"/>
        <item x="17"/>
        <item t="default"/>
      </items>
    </pivotField>
    <pivotField axis="axisRow" showAll="0">
      <items count="3">
        <item h="1" x="0"/>
        <item x="1"/>
        <item t="default"/>
      </items>
    </pivotField>
    <pivotField showAll="0"/>
    <pivotField showAll="0"/>
    <pivotField showAll="0"/>
    <pivotField showAll="0"/>
    <pivotField axis="axisRow" dataField="1" showAll="0">
      <items count="3">
        <item h="1" x="0"/>
        <item x="1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2">
    <field x="6"/>
    <field x="1"/>
  </rowFields>
  <rowItems count="3">
    <i>
      <x v="1"/>
    </i>
    <i r="1">
      <x v="1"/>
    </i>
    <i t="grand">
      <x/>
    </i>
  </rowItems>
  <colItems count="1">
    <i/>
  </colItems>
  <dataFields count="1">
    <dataField name="Count of PhoneService" fld="6" subtotal="count" baseField="0" baseItem="0"/>
  </dataFields>
  <chartFormats count="4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7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5638A97-A0FB-480E-9972-B2D1090EC9E8}" name="PivotTable2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2">
  <location ref="AF23:AJ37" firstHeaderRow="1" firstDataRow="3" firstDataCol="1" rowPageCount="1" colPageCount="1"/>
  <pivotFields count="21">
    <pivotField axis="axisRow" showAll="0">
      <items count="28">
        <item x="13"/>
        <item x="22"/>
        <item x="6"/>
        <item x="21"/>
        <item x="23"/>
        <item x="15"/>
        <item x="2"/>
        <item x="19"/>
        <item x="18"/>
        <item x="14"/>
        <item x="1"/>
        <item x="24"/>
        <item x="9"/>
        <item x="26"/>
        <item x="7"/>
        <item x="25"/>
        <item x="11"/>
        <item x="0"/>
        <item x="3"/>
        <item x="8"/>
        <item x="12"/>
        <item x="16"/>
        <item x="20"/>
        <item x="4"/>
        <item x="5"/>
        <item x="10"/>
        <item x="17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Col" showAll="0">
      <items count="4">
        <item x="0"/>
        <item h="1" x="2"/>
        <item h="1" x="1"/>
        <item t="default"/>
      </items>
    </pivotField>
    <pivotField dataField="1" showAll="0"/>
    <pivotField axis="axisCol" showAll="0">
      <items count="4">
        <item x="0"/>
        <item x="2"/>
        <item x="1"/>
        <item t="default"/>
      </items>
    </pivotField>
    <pivotField axis="axisPage" multipleItemSelectionAllowed="1" showAll="0">
      <items count="4">
        <item x="0"/>
        <item x="2"/>
        <item x="1"/>
        <item t="default"/>
      </items>
    </pivotField>
    <pivotField showAll="0"/>
    <pivotField showAll="0"/>
    <pivotField showAll="0"/>
    <pivotField showAll="0"/>
    <pivotField showAll="0"/>
    <pivotField showAll="0"/>
  </pivotFields>
  <rowFields count="1">
    <field x="0"/>
  </rowFields>
  <rowItems count="12">
    <i>
      <x v="2"/>
    </i>
    <i>
      <x v="4"/>
    </i>
    <i>
      <x v="6"/>
    </i>
    <i>
      <x v="11"/>
    </i>
    <i>
      <x v="12"/>
    </i>
    <i>
      <x v="13"/>
    </i>
    <i>
      <x v="14"/>
    </i>
    <i>
      <x v="15"/>
    </i>
    <i>
      <x v="17"/>
    </i>
    <i>
      <x v="23"/>
    </i>
    <i>
      <x v="25"/>
    </i>
    <i t="grand">
      <x/>
    </i>
  </rowItems>
  <colFields count="2">
    <field x="11"/>
    <field x="13"/>
  </colFields>
  <colItems count="4">
    <i>
      <x/>
      <x/>
    </i>
    <i r="1">
      <x v="2"/>
    </i>
    <i t="default">
      <x/>
    </i>
    <i t="grand">
      <x/>
    </i>
  </colItems>
  <pageFields count="1">
    <pageField fld="14" hier="-1"/>
  </pageFields>
  <dataFields count="1">
    <dataField name="Count of TechSupport" fld="12" subtotal="count" baseField="0" baseItem="0"/>
  </dataFields>
  <chartFormats count="5">
    <chartFormat chart="0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3" series="1">
      <pivotArea type="data" outline="0" fieldPosition="0">
        <references count="2">
          <reference field="4294967294" count="1" selected="0">
            <x v="0"/>
          </reference>
          <reference field="11" count="1" selected="0">
            <x v="1"/>
          </reference>
        </references>
      </pivotArea>
    </chartFormat>
    <chartFormat chart="0" format="4" series="1">
      <pivotArea type="data" outline="0" fieldPosition="0">
        <references count="2">
          <reference field="4294967294" count="1" selected="0">
            <x v="0"/>
          </reference>
          <reference field="11" count="1" selected="0">
            <x v="2"/>
          </reference>
        </references>
      </pivotArea>
    </chartFormat>
    <chartFormat chart="0" format="5" series="1">
      <pivotArea type="data" outline="0" fieldPosition="0">
        <references count="3">
          <reference field="4294967294" count="1" selected="0">
            <x v="0"/>
          </reference>
          <reference field="11" count="1" selected="0">
            <x v="2"/>
          </reference>
          <reference field="13" count="1" selected="0">
            <x v="0"/>
          </reference>
        </references>
      </pivotArea>
    </chartFormat>
    <chartFormat chart="0" format="6" series="1">
      <pivotArea type="data" outline="0" fieldPosition="0">
        <references count="3">
          <reference field="4294967294" count="1" selected="0">
            <x v="0"/>
          </reference>
          <reference field="11" count="1" selected="0">
            <x v="2"/>
          </reference>
          <reference field="13" count="1" selected="0">
            <x v="2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ivotTable" Target="../pivotTables/pivot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3.x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3.xml"/><Relationship Id="rId2" Type="http://schemas.openxmlformats.org/officeDocument/2006/relationships/pivotTable" Target="../pivotTables/pivotTable5.xml"/><Relationship Id="rId1" Type="http://schemas.openxmlformats.org/officeDocument/2006/relationships/pivotTable" Target="../pivotTables/pivot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570BB5-23F2-4A4F-B333-067A36E9307C}">
  <dimension ref="A4:G11"/>
  <sheetViews>
    <sheetView workbookViewId="0">
      <selection activeCell="B3" sqref="B3"/>
    </sheetView>
  </sheetViews>
  <sheetFormatPr defaultRowHeight="15" x14ac:dyDescent="0.25"/>
  <cols>
    <col min="1" max="1" width="13.140625" bestFit="1" customWidth="1"/>
    <col min="2" max="2" width="16.28515625" bestFit="1" customWidth="1"/>
    <col min="3" max="3" width="25" bestFit="1" customWidth="1"/>
    <col min="4" max="4" width="15.42578125" bestFit="1" customWidth="1"/>
    <col min="5" max="5" width="25" bestFit="1" customWidth="1"/>
    <col min="6" max="6" width="20.42578125" bestFit="1" customWidth="1"/>
    <col min="7" max="7" width="30.140625" bestFit="1" customWidth="1"/>
    <col min="8" max="8" width="6" bestFit="1" customWidth="1"/>
    <col min="9" max="9" width="4.140625" bestFit="1" customWidth="1"/>
    <col min="10" max="10" width="9" bestFit="1" customWidth="1"/>
    <col min="11" max="11" width="11.28515625" bestFit="1" customWidth="1"/>
  </cols>
  <sheetData>
    <row r="4" spans="1:7" x14ac:dyDescent="0.25">
      <c r="A4" s="10" t="s">
        <v>2</v>
      </c>
      <c r="B4" t="s">
        <v>65</v>
      </c>
    </row>
    <row r="6" spans="1:7" x14ac:dyDescent="0.25">
      <c r="B6" s="10" t="s">
        <v>69</v>
      </c>
    </row>
    <row r="7" spans="1:7" x14ac:dyDescent="0.25">
      <c r="B7" t="s">
        <v>24</v>
      </c>
      <c r="D7" t="s">
        <v>23</v>
      </c>
      <c r="F7" t="s">
        <v>73</v>
      </c>
      <c r="G7" t="s">
        <v>74</v>
      </c>
    </row>
    <row r="8" spans="1:7" x14ac:dyDescent="0.25">
      <c r="A8" s="10" t="s">
        <v>63</v>
      </c>
      <c r="B8" t="s">
        <v>72</v>
      </c>
      <c r="C8" t="s">
        <v>71</v>
      </c>
      <c r="D8" t="s">
        <v>72</v>
      </c>
      <c r="E8" t="s">
        <v>71</v>
      </c>
    </row>
    <row r="9" spans="1:7" x14ac:dyDescent="0.25">
      <c r="A9" s="11" t="s">
        <v>24</v>
      </c>
      <c r="B9">
        <v>14</v>
      </c>
      <c r="C9">
        <v>14</v>
      </c>
      <c r="D9">
        <v>5</v>
      </c>
      <c r="E9">
        <v>5</v>
      </c>
      <c r="F9">
        <v>19</v>
      </c>
      <c r="G9">
        <v>19</v>
      </c>
    </row>
    <row r="10" spans="1:7" x14ac:dyDescent="0.25">
      <c r="A10" s="11" t="s">
        <v>23</v>
      </c>
      <c r="B10">
        <v>3</v>
      </c>
      <c r="C10">
        <v>3</v>
      </c>
      <c r="D10">
        <v>5</v>
      </c>
      <c r="E10">
        <v>5</v>
      </c>
      <c r="F10">
        <v>8</v>
      </c>
      <c r="G10">
        <v>8</v>
      </c>
    </row>
    <row r="11" spans="1:7" x14ac:dyDescent="0.25">
      <c r="A11" s="11" t="s">
        <v>64</v>
      </c>
      <c r="B11">
        <v>17</v>
      </c>
      <c r="C11">
        <v>17</v>
      </c>
      <c r="D11">
        <v>10</v>
      </c>
      <c r="E11">
        <v>10</v>
      </c>
      <c r="F11">
        <v>27</v>
      </c>
      <c r="G11">
        <v>27</v>
      </c>
    </row>
  </sheetData>
  <pageMargins left="0.7" right="0.7" top="0.75" bottom="0.75" header="0.3" footer="0.3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ECD2F7-6253-49A8-8F2D-84C7342E1CC9}">
  <dimension ref="A3:B6"/>
  <sheetViews>
    <sheetView workbookViewId="0">
      <selection activeCell="M20" sqref="M20"/>
    </sheetView>
  </sheetViews>
  <sheetFormatPr defaultRowHeight="15" x14ac:dyDescent="0.25"/>
  <cols>
    <col min="1" max="1" width="13.140625" bestFit="1" customWidth="1"/>
    <col min="2" max="2" width="19.28515625" bestFit="1" customWidth="1"/>
    <col min="3" max="3" width="9" bestFit="1" customWidth="1"/>
    <col min="4" max="4" width="11.28515625" bestFit="1" customWidth="1"/>
    <col min="5" max="5" width="5.5703125" bestFit="1" customWidth="1"/>
    <col min="6" max="6" width="24.28515625" bestFit="1" customWidth="1"/>
    <col min="7" max="7" width="19.42578125" bestFit="1" customWidth="1"/>
  </cols>
  <sheetData>
    <row r="3" spans="1:2" x14ac:dyDescent="0.25">
      <c r="A3" s="10" t="s">
        <v>63</v>
      </c>
      <c r="B3" t="s">
        <v>67</v>
      </c>
    </row>
    <row r="4" spans="1:2" x14ac:dyDescent="0.25">
      <c r="A4" s="11" t="s">
        <v>24</v>
      </c>
      <c r="B4">
        <v>30457.45</v>
      </c>
    </row>
    <row r="5" spans="1:2" x14ac:dyDescent="0.25">
      <c r="A5" s="11" t="s">
        <v>23</v>
      </c>
      <c r="B5">
        <v>29194.749999999993</v>
      </c>
    </row>
    <row r="6" spans="1:2" x14ac:dyDescent="0.25">
      <c r="A6" s="11" t="s">
        <v>64</v>
      </c>
      <c r="B6">
        <v>59652.2</v>
      </c>
    </row>
  </sheetData>
  <pageMargins left="0.7" right="0.7" top="0.75" bottom="0.75" header="0.3" footer="0.3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65B882-49B8-4A1D-9066-33A3795C03D9}">
  <dimension ref="A3:D7"/>
  <sheetViews>
    <sheetView workbookViewId="0">
      <selection activeCell="A3" sqref="A3"/>
    </sheetView>
  </sheetViews>
  <sheetFormatPr defaultRowHeight="15" x14ac:dyDescent="0.25"/>
  <cols>
    <col min="1" max="1" width="19.28515625" bestFit="1" customWidth="1"/>
    <col min="2" max="2" width="16.28515625" bestFit="1" customWidth="1"/>
    <col min="3" max="3" width="9" bestFit="1" customWidth="1"/>
    <col min="4" max="4" width="11.28515625" bestFit="1" customWidth="1"/>
  </cols>
  <sheetData>
    <row r="3" spans="1:4" x14ac:dyDescent="0.25">
      <c r="A3" s="10" t="s">
        <v>67</v>
      </c>
      <c r="B3" s="10" t="s">
        <v>69</v>
      </c>
    </row>
    <row r="4" spans="1:4" x14ac:dyDescent="0.25">
      <c r="A4" s="10" t="s">
        <v>63</v>
      </c>
      <c r="B4" t="s">
        <v>24</v>
      </c>
      <c r="C4" t="s">
        <v>23</v>
      </c>
      <c r="D4" t="s">
        <v>64</v>
      </c>
    </row>
    <row r="5" spans="1:4" x14ac:dyDescent="0.25">
      <c r="A5" s="11" t="s">
        <v>24</v>
      </c>
      <c r="B5">
        <v>17637.849999999999</v>
      </c>
      <c r="C5">
        <v>12464.35</v>
      </c>
      <c r="D5">
        <v>30102.199999999997</v>
      </c>
    </row>
    <row r="6" spans="1:4" x14ac:dyDescent="0.25">
      <c r="A6" s="11" t="s">
        <v>23</v>
      </c>
      <c r="B6">
        <v>12819.6</v>
      </c>
      <c r="C6">
        <v>16730.400000000001</v>
      </c>
      <c r="D6">
        <v>29550</v>
      </c>
    </row>
    <row r="7" spans="1:4" x14ac:dyDescent="0.25">
      <c r="A7" s="11" t="s">
        <v>64</v>
      </c>
      <c r="B7">
        <v>30457.449999999997</v>
      </c>
      <c r="C7">
        <v>29194.75</v>
      </c>
      <c r="D7">
        <v>59652.2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49611E-C7F8-4A87-AC03-009EB9A6CFE9}">
  <dimension ref="A1:AJ37"/>
  <sheetViews>
    <sheetView tabSelected="1" topLeftCell="B1" zoomScale="55" zoomScaleNormal="55" workbookViewId="0">
      <selection activeCell="X31" sqref="X31"/>
    </sheetView>
  </sheetViews>
  <sheetFormatPr defaultRowHeight="15" x14ac:dyDescent="0.25"/>
  <cols>
    <col min="23" max="23" width="13.28515625" bestFit="1" customWidth="1"/>
    <col min="24" max="24" width="21.5703125" bestFit="1" customWidth="1"/>
    <col min="32" max="32" width="20.42578125" bestFit="1" customWidth="1"/>
    <col min="33" max="33" width="16.28515625" bestFit="1" customWidth="1"/>
    <col min="34" max="34" width="4.140625" bestFit="1" customWidth="1"/>
    <col min="35" max="35" width="8.42578125" bestFit="1" customWidth="1"/>
    <col min="36" max="36" width="11.28515625" bestFit="1" customWidth="1"/>
    <col min="37" max="37" width="23.28515625" bestFit="1" customWidth="1"/>
    <col min="38" max="38" width="6" bestFit="1" customWidth="1"/>
    <col min="39" max="39" width="4.140625" bestFit="1" customWidth="1"/>
    <col min="40" max="40" width="9" bestFit="1" customWidth="1"/>
    <col min="41" max="41" width="11.28515625" bestFit="1" customWidth="1"/>
  </cols>
  <sheetData>
    <row r="1" spans="1:24" x14ac:dyDescent="0.25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3" t="s">
        <v>20</v>
      </c>
    </row>
    <row r="2" spans="1:24" x14ac:dyDescent="0.25">
      <c r="A2" s="4" t="s">
        <v>21</v>
      </c>
      <c r="B2" s="5" t="s">
        <v>22</v>
      </c>
      <c r="C2" s="5">
        <v>0</v>
      </c>
      <c r="D2" s="5" t="s">
        <v>23</v>
      </c>
      <c r="E2" s="5" t="s">
        <v>24</v>
      </c>
      <c r="F2" s="5">
        <v>1</v>
      </c>
      <c r="G2" s="5" t="s">
        <v>24</v>
      </c>
      <c r="H2" s="5" t="s">
        <v>25</v>
      </c>
      <c r="I2" s="5" t="s">
        <v>26</v>
      </c>
      <c r="J2" s="5" t="s">
        <v>24</v>
      </c>
      <c r="K2" s="5" t="s">
        <v>23</v>
      </c>
      <c r="L2" s="5" t="s">
        <v>24</v>
      </c>
      <c r="M2" s="5" t="s">
        <v>24</v>
      </c>
      <c r="N2" s="5" t="s">
        <v>24</v>
      </c>
      <c r="O2" s="5" t="s">
        <v>24</v>
      </c>
      <c r="P2" s="5" t="s">
        <v>27</v>
      </c>
      <c r="Q2" s="5" t="s">
        <v>23</v>
      </c>
      <c r="R2" s="5" t="s">
        <v>28</v>
      </c>
      <c r="S2" s="5">
        <v>29.85</v>
      </c>
      <c r="T2" s="5">
        <v>29.85</v>
      </c>
      <c r="U2" s="6" t="s">
        <v>24</v>
      </c>
    </row>
    <row r="3" spans="1:24" x14ac:dyDescent="0.25">
      <c r="A3" s="7" t="s">
        <v>29</v>
      </c>
      <c r="B3" s="8" t="s">
        <v>30</v>
      </c>
      <c r="C3" s="8">
        <v>0</v>
      </c>
      <c r="D3" s="8" t="s">
        <v>24</v>
      </c>
      <c r="E3" s="8" t="s">
        <v>24</v>
      </c>
      <c r="F3" s="8">
        <v>34</v>
      </c>
      <c r="G3" s="8" t="s">
        <v>23</v>
      </c>
      <c r="H3" s="8" t="s">
        <v>24</v>
      </c>
      <c r="I3" s="8" t="s">
        <v>26</v>
      </c>
      <c r="J3" s="8" t="s">
        <v>23</v>
      </c>
      <c r="K3" s="8" t="s">
        <v>24</v>
      </c>
      <c r="L3" s="8" t="s">
        <v>23</v>
      </c>
      <c r="M3" s="8" t="s">
        <v>24</v>
      </c>
      <c r="N3" s="8" t="s">
        <v>24</v>
      </c>
      <c r="O3" s="8" t="s">
        <v>24</v>
      </c>
      <c r="P3" s="8" t="s">
        <v>31</v>
      </c>
      <c r="Q3" s="8" t="s">
        <v>24</v>
      </c>
      <c r="R3" s="8" t="s">
        <v>32</v>
      </c>
      <c r="S3" s="8">
        <v>56.95</v>
      </c>
      <c r="T3" s="8">
        <v>1889.5</v>
      </c>
      <c r="U3" s="9" t="s">
        <v>24</v>
      </c>
    </row>
    <row r="4" spans="1:24" x14ac:dyDescent="0.25">
      <c r="A4" s="4" t="s">
        <v>33</v>
      </c>
      <c r="B4" s="5" t="s">
        <v>30</v>
      </c>
      <c r="C4" s="5">
        <v>0</v>
      </c>
      <c r="D4" s="5" t="s">
        <v>24</v>
      </c>
      <c r="E4" s="5" t="s">
        <v>24</v>
      </c>
      <c r="F4" s="5">
        <v>2</v>
      </c>
      <c r="G4" s="5" t="s">
        <v>23</v>
      </c>
      <c r="H4" s="5" t="s">
        <v>24</v>
      </c>
      <c r="I4" s="5" t="s">
        <v>26</v>
      </c>
      <c r="J4" s="5" t="s">
        <v>23</v>
      </c>
      <c r="K4" s="5" t="s">
        <v>23</v>
      </c>
      <c r="L4" s="5" t="s">
        <v>24</v>
      </c>
      <c r="M4" s="5" t="s">
        <v>24</v>
      </c>
      <c r="N4" s="5" t="s">
        <v>24</v>
      </c>
      <c r="O4" s="5" t="s">
        <v>24</v>
      </c>
      <c r="P4" s="5" t="s">
        <v>27</v>
      </c>
      <c r="Q4" s="5" t="s">
        <v>23</v>
      </c>
      <c r="R4" s="5" t="s">
        <v>32</v>
      </c>
      <c r="S4" s="5">
        <v>53.85</v>
      </c>
      <c r="T4" s="5">
        <v>108.15</v>
      </c>
      <c r="U4" s="6" t="s">
        <v>23</v>
      </c>
    </row>
    <row r="5" spans="1:24" x14ac:dyDescent="0.25">
      <c r="A5" s="7" t="s">
        <v>34</v>
      </c>
      <c r="B5" s="8" t="s">
        <v>30</v>
      </c>
      <c r="C5" s="8">
        <v>0</v>
      </c>
      <c r="D5" s="8" t="s">
        <v>24</v>
      </c>
      <c r="E5" s="8" t="s">
        <v>24</v>
      </c>
      <c r="F5" s="8">
        <v>45</v>
      </c>
      <c r="G5" s="8" t="s">
        <v>24</v>
      </c>
      <c r="H5" s="8" t="s">
        <v>25</v>
      </c>
      <c r="I5" s="8" t="s">
        <v>26</v>
      </c>
      <c r="J5" s="8" t="s">
        <v>23</v>
      </c>
      <c r="K5" s="8" t="s">
        <v>24</v>
      </c>
      <c r="L5" s="8" t="s">
        <v>23</v>
      </c>
      <c r="M5" s="8" t="s">
        <v>23</v>
      </c>
      <c r="N5" s="8" t="s">
        <v>24</v>
      </c>
      <c r="O5" s="8" t="s">
        <v>24</v>
      </c>
      <c r="P5" s="8" t="s">
        <v>31</v>
      </c>
      <c r="Q5" s="8" t="s">
        <v>24</v>
      </c>
      <c r="R5" s="8" t="s">
        <v>35</v>
      </c>
      <c r="S5" s="8">
        <v>42.3</v>
      </c>
      <c r="T5" s="8">
        <v>1840.75</v>
      </c>
      <c r="U5" s="9" t="s">
        <v>24</v>
      </c>
    </row>
    <row r="6" spans="1:24" x14ac:dyDescent="0.25">
      <c r="A6" s="4" t="s">
        <v>36</v>
      </c>
      <c r="B6" s="5" t="s">
        <v>22</v>
      </c>
      <c r="C6" s="5">
        <v>0</v>
      </c>
      <c r="D6" s="5" t="s">
        <v>24</v>
      </c>
      <c r="E6" s="5" t="s">
        <v>24</v>
      </c>
      <c r="F6" s="5">
        <v>2</v>
      </c>
      <c r="G6" s="5" t="s">
        <v>23</v>
      </c>
      <c r="H6" s="5" t="s">
        <v>24</v>
      </c>
      <c r="I6" s="5" t="s">
        <v>37</v>
      </c>
      <c r="J6" s="5" t="s">
        <v>24</v>
      </c>
      <c r="K6" s="5" t="s">
        <v>24</v>
      </c>
      <c r="L6" s="5" t="s">
        <v>24</v>
      </c>
      <c r="M6" s="5" t="s">
        <v>24</v>
      </c>
      <c r="N6" s="5" t="s">
        <v>24</v>
      </c>
      <c r="O6" s="5" t="s">
        <v>24</v>
      </c>
      <c r="P6" s="5" t="s">
        <v>27</v>
      </c>
      <c r="Q6" s="5" t="s">
        <v>23</v>
      </c>
      <c r="R6" s="5" t="s">
        <v>28</v>
      </c>
      <c r="S6" s="5">
        <v>70.7</v>
      </c>
      <c r="T6" s="5">
        <v>151.65</v>
      </c>
      <c r="U6" s="6" t="s">
        <v>23</v>
      </c>
    </row>
    <row r="7" spans="1:24" x14ac:dyDescent="0.25">
      <c r="A7" s="7" t="s">
        <v>38</v>
      </c>
      <c r="B7" s="8" t="s">
        <v>22</v>
      </c>
      <c r="C7" s="8">
        <v>0</v>
      </c>
      <c r="D7" s="8" t="s">
        <v>24</v>
      </c>
      <c r="E7" s="8" t="s">
        <v>24</v>
      </c>
      <c r="F7" s="8">
        <v>8</v>
      </c>
      <c r="G7" s="8" t="s">
        <v>23</v>
      </c>
      <c r="H7" s="8" t="s">
        <v>23</v>
      </c>
      <c r="I7" s="8" t="s">
        <v>37</v>
      </c>
      <c r="J7" s="8" t="s">
        <v>24</v>
      </c>
      <c r="K7" s="8" t="s">
        <v>24</v>
      </c>
      <c r="L7" s="8" t="s">
        <v>23</v>
      </c>
      <c r="M7" s="8" t="s">
        <v>24</v>
      </c>
      <c r="N7" s="8" t="s">
        <v>23</v>
      </c>
      <c r="O7" s="8" t="s">
        <v>23</v>
      </c>
      <c r="P7" s="8" t="s">
        <v>27</v>
      </c>
      <c r="Q7" s="8" t="s">
        <v>23</v>
      </c>
      <c r="R7" s="8" t="s">
        <v>28</v>
      </c>
      <c r="S7" s="8">
        <v>99.65</v>
      </c>
      <c r="T7" s="8">
        <v>820.5</v>
      </c>
      <c r="U7" s="9" t="s">
        <v>23</v>
      </c>
    </row>
    <row r="8" spans="1:24" x14ac:dyDescent="0.25">
      <c r="A8" s="4" t="s">
        <v>39</v>
      </c>
      <c r="B8" s="5" t="s">
        <v>30</v>
      </c>
      <c r="C8" s="5">
        <v>0</v>
      </c>
      <c r="D8" s="5" t="s">
        <v>24</v>
      </c>
      <c r="E8" s="5" t="s">
        <v>23</v>
      </c>
      <c r="F8" s="5">
        <v>22</v>
      </c>
      <c r="G8" s="5" t="s">
        <v>23</v>
      </c>
      <c r="H8" s="5" t="s">
        <v>23</v>
      </c>
      <c r="I8" s="5" t="s">
        <v>37</v>
      </c>
      <c r="J8" s="5" t="s">
        <v>24</v>
      </c>
      <c r="K8" s="5" t="s">
        <v>23</v>
      </c>
      <c r="L8" s="5" t="s">
        <v>24</v>
      </c>
      <c r="M8" s="5" t="s">
        <v>24</v>
      </c>
      <c r="N8" s="5" t="s">
        <v>23</v>
      </c>
      <c r="O8" s="5" t="s">
        <v>24</v>
      </c>
      <c r="P8" s="5" t="s">
        <v>27</v>
      </c>
      <c r="Q8" s="5" t="s">
        <v>23</v>
      </c>
      <c r="R8" s="5" t="s">
        <v>40</v>
      </c>
      <c r="S8" s="5">
        <v>89.1</v>
      </c>
      <c r="T8" s="5">
        <v>1949.4</v>
      </c>
      <c r="U8" s="6" t="s">
        <v>24</v>
      </c>
    </row>
    <row r="9" spans="1:24" x14ac:dyDescent="0.25">
      <c r="A9" s="7" t="s">
        <v>41</v>
      </c>
      <c r="B9" s="8" t="s">
        <v>22</v>
      </c>
      <c r="C9" s="8">
        <v>0</v>
      </c>
      <c r="D9" s="8" t="s">
        <v>24</v>
      </c>
      <c r="E9" s="8" t="s">
        <v>24</v>
      </c>
      <c r="F9" s="8">
        <v>10</v>
      </c>
      <c r="G9" s="8" t="s">
        <v>24</v>
      </c>
      <c r="H9" s="8" t="s">
        <v>25</v>
      </c>
      <c r="I9" s="8" t="s">
        <v>26</v>
      </c>
      <c r="J9" s="8" t="s">
        <v>23</v>
      </c>
      <c r="K9" s="8" t="s">
        <v>24</v>
      </c>
      <c r="L9" s="8" t="s">
        <v>24</v>
      </c>
      <c r="M9" s="8" t="s">
        <v>24</v>
      </c>
      <c r="N9" s="8" t="s">
        <v>24</v>
      </c>
      <c r="O9" s="8" t="s">
        <v>24</v>
      </c>
      <c r="P9" s="8" t="s">
        <v>27</v>
      </c>
      <c r="Q9" s="8" t="s">
        <v>24</v>
      </c>
      <c r="R9" s="8" t="s">
        <v>32</v>
      </c>
      <c r="S9" s="8">
        <v>29.75</v>
      </c>
      <c r="T9" s="8">
        <v>301.89999999999998</v>
      </c>
      <c r="U9" s="9" t="s">
        <v>24</v>
      </c>
    </row>
    <row r="10" spans="1:24" x14ac:dyDescent="0.25">
      <c r="A10" s="4" t="s">
        <v>42</v>
      </c>
      <c r="B10" s="5" t="s">
        <v>22</v>
      </c>
      <c r="C10" s="5">
        <v>0</v>
      </c>
      <c r="D10" s="5" t="s">
        <v>23</v>
      </c>
      <c r="E10" s="5" t="s">
        <v>24</v>
      </c>
      <c r="F10" s="5">
        <v>28</v>
      </c>
      <c r="G10" s="5" t="s">
        <v>23</v>
      </c>
      <c r="H10" s="5" t="s">
        <v>23</v>
      </c>
      <c r="I10" s="5" t="s">
        <v>37</v>
      </c>
      <c r="J10" s="5" t="s">
        <v>24</v>
      </c>
      <c r="K10" s="5" t="s">
        <v>24</v>
      </c>
      <c r="L10" s="5" t="s">
        <v>23</v>
      </c>
      <c r="M10" s="5" t="s">
        <v>23</v>
      </c>
      <c r="N10" s="5" t="s">
        <v>23</v>
      </c>
      <c r="O10" s="5" t="s">
        <v>23</v>
      </c>
      <c r="P10" s="5" t="s">
        <v>27</v>
      </c>
      <c r="Q10" s="5" t="s">
        <v>23</v>
      </c>
      <c r="R10" s="5" t="s">
        <v>28</v>
      </c>
      <c r="S10" s="5">
        <v>104.8</v>
      </c>
      <c r="T10" s="5">
        <v>3046.05</v>
      </c>
      <c r="U10" s="6" t="s">
        <v>23</v>
      </c>
    </row>
    <row r="11" spans="1:24" x14ac:dyDescent="0.25">
      <c r="A11" s="7" t="s">
        <v>43</v>
      </c>
      <c r="B11" s="8" t="s">
        <v>30</v>
      </c>
      <c r="C11" s="8">
        <v>0</v>
      </c>
      <c r="D11" s="8" t="s">
        <v>24</v>
      </c>
      <c r="E11" s="8" t="s">
        <v>23</v>
      </c>
      <c r="F11" s="8">
        <v>62</v>
      </c>
      <c r="G11" s="8" t="s">
        <v>23</v>
      </c>
      <c r="H11" s="8" t="s">
        <v>24</v>
      </c>
      <c r="I11" s="8" t="s">
        <v>26</v>
      </c>
      <c r="J11" s="8" t="s">
        <v>23</v>
      </c>
      <c r="K11" s="8" t="s">
        <v>23</v>
      </c>
      <c r="L11" s="8" t="s">
        <v>24</v>
      </c>
      <c r="M11" s="8" t="s">
        <v>24</v>
      </c>
      <c r="N11" s="8" t="s">
        <v>24</v>
      </c>
      <c r="O11" s="8" t="s">
        <v>24</v>
      </c>
      <c r="P11" s="8" t="s">
        <v>31</v>
      </c>
      <c r="Q11" s="8" t="s">
        <v>24</v>
      </c>
      <c r="R11" s="8" t="s">
        <v>35</v>
      </c>
      <c r="S11" s="8">
        <v>56.15</v>
      </c>
      <c r="T11" s="8">
        <v>3487.95</v>
      </c>
      <c r="U11" s="9" t="s">
        <v>24</v>
      </c>
    </row>
    <row r="12" spans="1:24" x14ac:dyDescent="0.25">
      <c r="A12" s="4" t="s">
        <v>44</v>
      </c>
      <c r="B12" s="5" t="s">
        <v>30</v>
      </c>
      <c r="C12" s="5">
        <v>0</v>
      </c>
      <c r="D12" s="5" t="s">
        <v>23</v>
      </c>
      <c r="E12" s="5" t="s">
        <v>23</v>
      </c>
      <c r="F12" s="5">
        <v>13</v>
      </c>
      <c r="G12" s="5" t="s">
        <v>23</v>
      </c>
      <c r="H12" s="5" t="s">
        <v>24</v>
      </c>
      <c r="I12" s="5" t="s">
        <v>26</v>
      </c>
      <c r="J12" s="5" t="s">
        <v>23</v>
      </c>
      <c r="K12" s="5" t="s">
        <v>24</v>
      </c>
      <c r="L12" s="5" t="s">
        <v>24</v>
      </c>
      <c r="M12" s="5" t="s">
        <v>24</v>
      </c>
      <c r="N12" s="5" t="s">
        <v>24</v>
      </c>
      <c r="O12" s="5" t="s">
        <v>24</v>
      </c>
      <c r="P12" s="5" t="s">
        <v>27</v>
      </c>
      <c r="Q12" s="5" t="s">
        <v>23</v>
      </c>
      <c r="R12" s="5" t="s">
        <v>32</v>
      </c>
      <c r="S12" s="5">
        <v>49.95</v>
      </c>
      <c r="T12" s="5">
        <v>587.45000000000005</v>
      </c>
      <c r="U12" s="6" t="s">
        <v>24</v>
      </c>
    </row>
    <row r="13" spans="1:24" x14ac:dyDescent="0.25">
      <c r="A13" s="7" t="s">
        <v>45</v>
      </c>
      <c r="B13" s="8" t="s">
        <v>30</v>
      </c>
      <c r="C13" s="8">
        <v>0</v>
      </c>
      <c r="D13" s="8" t="s">
        <v>24</v>
      </c>
      <c r="E13" s="8" t="s">
        <v>24</v>
      </c>
      <c r="F13" s="8">
        <v>16</v>
      </c>
      <c r="G13" s="8" t="s">
        <v>23</v>
      </c>
      <c r="H13" s="8" t="s">
        <v>24</v>
      </c>
      <c r="I13" s="8" t="s">
        <v>24</v>
      </c>
      <c r="J13" s="8" t="s">
        <v>46</v>
      </c>
      <c r="K13" s="8" t="s">
        <v>46</v>
      </c>
      <c r="L13" s="8" t="s">
        <v>46</v>
      </c>
      <c r="M13" s="8" t="s">
        <v>46</v>
      </c>
      <c r="N13" s="8" t="s">
        <v>46</v>
      </c>
      <c r="O13" s="8" t="s">
        <v>46</v>
      </c>
      <c r="P13" s="8" t="s">
        <v>47</v>
      </c>
      <c r="Q13" s="8" t="s">
        <v>24</v>
      </c>
      <c r="R13" s="8" t="s">
        <v>40</v>
      </c>
      <c r="S13" s="8">
        <v>18.95</v>
      </c>
      <c r="T13" s="8">
        <v>326.8</v>
      </c>
      <c r="U13" s="9" t="s">
        <v>24</v>
      </c>
    </row>
    <row r="14" spans="1:24" x14ac:dyDescent="0.25">
      <c r="A14" s="4" t="s">
        <v>48</v>
      </c>
      <c r="B14" s="5" t="s">
        <v>30</v>
      </c>
      <c r="C14" s="5">
        <v>0</v>
      </c>
      <c r="D14" s="5" t="s">
        <v>23</v>
      </c>
      <c r="E14" s="5" t="s">
        <v>24</v>
      </c>
      <c r="F14" s="5">
        <v>58</v>
      </c>
      <c r="G14" s="5" t="s">
        <v>23</v>
      </c>
      <c r="H14" s="5" t="s">
        <v>23</v>
      </c>
      <c r="I14" s="5" t="s">
        <v>37</v>
      </c>
      <c r="J14" s="5" t="s">
        <v>24</v>
      </c>
      <c r="K14" s="5" t="s">
        <v>24</v>
      </c>
      <c r="L14" s="5" t="s">
        <v>23</v>
      </c>
      <c r="M14" s="5" t="s">
        <v>24</v>
      </c>
      <c r="N14" s="5" t="s">
        <v>23</v>
      </c>
      <c r="O14" s="5" t="s">
        <v>23</v>
      </c>
      <c r="P14" s="5" t="s">
        <v>31</v>
      </c>
      <c r="Q14" s="5" t="s">
        <v>24</v>
      </c>
      <c r="R14" s="5" t="s">
        <v>40</v>
      </c>
      <c r="S14" s="5">
        <v>100.35</v>
      </c>
      <c r="T14" s="5">
        <v>5681.1</v>
      </c>
      <c r="U14" s="6" t="s">
        <v>24</v>
      </c>
    </row>
    <row r="15" spans="1:24" x14ac:dyDescent="0.25">
      <c r="A15" s="7" t="s">
        <v>49</v>
      </c>
      <c r="B15" s="8" t="s">
        <v>30</v>
      </c>
      <c r="C15" s="8">
        <v>0</v>
      </c>
      <c r="D15" s="8" t="s">
        <v>24</v>
      </c>
      <c r="E15" s="8" t="s">
        <v>24</v>
      </c>
      <c r="F15" s="8">
        <v>49</v>
      </c>
      <c r="G15" s="8" t="s">
        <v>23</v>
      </c>
      <c r="H15" s="8" t="s">
        <v>23</v>
      </c>
      <c r="I15" s="8" t="s">
        <v>37</v>
      </c>
      <c r="J15" s="8" t="s">
        <v>24</v>
      </c>
      <c r="K15" s="8" t="s">
        <v>23</v>
      </c>
      <c r="L15" s="8" t="s">
        <v>23</v>
      </c>
      <c r="M15" s="8" t="s">
        <v>24</v>
      </c>
      <c r="N15" s="8" t="s">
        <v>23</v>
      </c>
      <c r="O15" s="8" t="s">
        <v>23</v>
      </c>
      <c r="P15" s="8" t="s">
        <v>27</v>
      </c>
      <c r="Q15" s="8" t="s">
        <v>23</v>
      </c>
      <c r="R15" s="8" t="s">
        <v>35</v>
      </c>
      <c r="S15" s="8">
        <v>103.7</v>
      </c>
      <c r="T15" s="8">
        <v>5036.3</v>
      </c>
      <c r="U15" s="9" t="s">
        <v>23</v>
      </c>
      <c r="W15" s="10" t="s">
        <v>63</v>
      </c>
      <c r="X15" t="s">
        <v>66</v>
      </c>
    </row>
    <row r="16" spans="1:24" x14ac:dyDescent="0.25">
      <c r="A16" s="4" t="s">
        <v>50</v>
      </c>
      <c r="B16" s="5" t="s">
        <v>30</v>
      </c>
      <c r="C16" s="5">
        <v>0</v>
      </c>
      <c r="D16" s="5" t="s">
        <v>24</v>
      </c>
      <c r="E16" s="5" t="s">
        <v>24</v>
      </c>
      <c r="F16" s="5">
        <v>25</v>
      </c>
      <c r="G16" s="5" t="s">
        <v>23</v>
      </c>
      <c r="H16" s="5" t="s">
        <v>24</v>
      </c>
      <c r="I16" s="5" t="s">
        <v>37</v>
      </c>
      <c r="J16" s="5" t="s">
        <v>23</v>
      </c>
      <c r="K16" s="5" t="s">
        <v>24</v>
      </c>
      <c r="L16" s="5" t="s">
        <v>23</v>
      </c>
      <c r="M16" s="5" t="s">
        <v>23</v>
      </c>
      <c r="N16" s="5" t="s">
        <v>23</v>
      </c>
      <c r="O16" s="5" t="s">
        <v>23</v>
      </c>
      <c r="P16" s="5" t="s">
        <v>27</v>
      </c>
      <c r="Q16" s="5" t="s">
        <v>23</v>
      </c>
      <c r="R16" s="5" t="s">
        <v>28</v>
      </c>
      <c r="S16" s="5">
        <v>105.5</v>
      </c>
      <c r="T16" s="5">
        <v>2686.05</v>
      </c>
      <c r="U16" s="6" t="s">
        <v>24</v>
      </c>
      <c r="W16" s="11" t="s">
        <v>23</v>
      </c>
      <c r="X16">
        <v>14</v>
      </c>
    </row>
    <row r="17" spans="1:36" x14ac:dyDescent="0.25">
      <c r="A17" s="7" t="s">
        <v>51</v>
      </c>
      <c r="B17" s="8" t="s">
        <v>22</v>
      </c>
      <c r="C17" s="8">
        <v>0</v>
      </c>
      <c r="D17" s="8" t="s">
        <v>23</v>
      </c>
      <c r="E17" s="8" t="s">
        <v>23</v>
      </c>
      <c r="F17" s="8">
        <v>69</v>
      </c>
      <c r="G17" s="8" t="s">
        <v>23</v>
      </c>
      <c r="H17" s="8" t="s">
        <v>23</v>
      </c>
      <c r="I17" s="8" t="s">
        <v>37</v>
      </c>
      <c r="J17" s="8" t="s">
        <v>23</v>
      </c>
      <c r="K17" s="8" t="s">
        <v>23</v>
      </c>
      <c r="L17" s="8" t="s">
        <v>23</v>
      </c>
      <c r="M17" s="8" t="s">
        <v>23</v>
      </c>
      <c r="N17" s="8" t="s">
        <v>23</v>
      </c>
      <c r="O17" s="8" t="s">
        <v>23</v>
      </c>
      <c r="P17" s="8" t="s">
        <v>47</v>
      </c>
      <c r="Q17" s="8" t="s">
        <v>24</v>
      </c>
      <c r="R17" s="8" t="s">
        <v>40</v>
      </c>
      <c r="S17" s="8">
        <v>113.25</v>
      </c>
      <c r="T17" s="8">
        <v>7895.15</v>
      </c>
      <c r="U17" s="9" t="s">
        <v>24</v>
      </c>
      <c r="W17" s="12" t="s">
        <v>30</v>
      </c>
      <c r="X17">
        <v>14</v>
      </c>
    </row>
    <row r="18" spans="1:36" x14ac:dyDescent="0.25">
      <c r="A18" s="4" t="s">
        <v>52</v>
      </c>
      <c r="B18" s="5" t="s">
        <v>22</v>
      </c>
      <c r="C18" s="5">
        <v>0</v>
      </c>
      <c r="D18" s="5" t="s">
        <v>24</v>
      </c>
      <c r="E18" s="5" t="s">
        <v>24</v>
      </c>
      <c r="F18" s="5">
        <v>52</v>
      </c>
      <c r="G18" s="5" t="s">
        <v>23</v>
      </c>
      <c r="H18" s="5" t="s">
        <v>24</v>
      </c>
      <c r="I18" s="5" t="s">
        <v>24</v>
      </c>
      <c r="J18" s="5" t="s">
        <v>46</v>
      </c>
      <c r="K18" s="5" t="s">
        <v>46</v>
      </c>
      <c r="L18" s="5" t="s">
        <v>46</v>
      </c>
      <c r="M18" s="5" t="s">
        <v>46</v>
      </c>
      <c r="N18" s="5" t="s">
        <v>46</v>
      </c>
      <c r="O18" s="5" t="s">
        <v>46</v>
      </c>
      <c r="P18" s="5" t="s">
        <v>31</v>
      </c>
      <c r="Q18" s="5" t="s">
        <v>24</v>
      </c>
      <c r="R18" s="5" t="s">
        <v>32</v>
      </c>
      <c r="S18" s="5">
        <v>20.65</v>
      </c>
      <c r="T18" s="5">
        <v>1022.95</v>
      </c>
      <c r="U18" s="6" t="s">
        <v>24</v>
      </c>
      <c r="W18" s="11" t="s">
        <v>64</v>
      </c>
      <c r="X18">
        <v>14</v>
      </c>
    </row>
    <row r="19" spans="1:36" x14ac:dyDescent="0.25">
      <c r="A19" s="7" t="s">
        <v>53</v>
      </c>
      <c r="B19" s="8" t="s">
        <v>30</v>
      </c>
      <c r="C19" s="8">
        <v>0</v>
      </c>
      <c r="D19" s="8" t="s">
        <v>24</v>
      </c>
      <c r="E19" s="8" t="s">
        <v>23</v>
      </c>
      <c r="F19" s="8">
        <v>71</v>
      </c>
      <c r="G19" s="8" t="s">
        <v>23</v>
      </c>
      <c r="H19" s="8" t="s">
        <v>23</v>
      </c>
      <c r="I19" s="8" t="s">
        <v>37</v>
      </c>
      <c r="J19" s="8" t="s">
        <v>23</v>
      </c>
      <c r="K19" s="8" t="s">
        <v>24</v>
      </c>
      <c r="L19" s="8" t="s">
        <v>23</v>
      </c>
      <c r="M19" s="8" t="s">
        <v>24</v>
      </c>
      <c r="N19" s="8" t="s">
        <v>23</v>
      </c>
      <c r="O19" s="8" t="s">
        <v>23</v>
      </c>
      <c r="P19" s="8" t="s">
        <v>47</v>
      </c>
      <c r="Q19" s="8" t="s">
        <v>24</v>
      </c>
      <c r="R19" s="8" t="s">
        <v>35</v>
      </c>
      <c r="S19" s="8">
        <v>106.7</v>
      </c>
      <c r="T19" s="8">
        <v>7382.25</v>
      </c>
      <c r="U19" s="9" t="s">
        <v>24</v>
      </c>
    </row>
    <row r="20" spans="1:36" x14ac:dyDescent="0.25">
      <c r="A20" s="4" t="s">
        <v>54</v>
      </c>
      <c r="B20" s="5" t="s">
        <v>22</v>
      </c>
      <c r="C20" s="5">
        <v>0</v>
      </c>
      <c r="D20" s="5" t="s">
        <v>23</v>
      </c>
      <c r="E20" s="5" t="s">
        <v>23</v>
      </c>
      <c r="F20" s="5">
        <v>10</v>
      </c>
      <c r="G20" s="5" t="s">
        <v>23</v>
      </c>
      <c r="H20" s="5" t="s">
        <v>24</v>
      </c>
      <c r="I20" s="5" t="s">
        <v>26</v>
      </c>
      <c r="J20" s="5" t="s">
        <v>24</v>
      </c>
      <c r="K20" s="5" t="s">
        <v>24</v>
      </c>
      <c r="L20" s="5" t="s">
        <v>23</v>
      </c>
      <c r="M20" s="5" t="s">
        <v>23</v>
      </c>
      <c r="N20" s="5" t="s">
        <v>24</v>
      </c>
      <c r="O20" s="5" t="s">
        <v>24</v>
      </c>
      <c r="P20" s="5" t="s">
        <v>27</v>
      </c>
      <c r="Q20" s="5" t="s">
        <v>24</v>
      </c>
      <c r="R20" s="5" t="s">
        <v>40</v>
      </c>
      <c r="S20" s="5">
        <v>55.2</v>
      </c>
      <c r="T20" s="5">
        <v>528.35</v>
      </c>
      <c r="U20" s="6" t="s">
        <v>23</v>
      </c>
    </row>
    <row r="21" spans="1:36" x14ac:dyDescent="0.25">
      <c r="A21" s="7" t="s">
        <v>55</v>
      </c>
      <c r="B21" s="8" t="s">
        <v>22</v>
      </c>
      <c r="C21" s="8">
        <v>0</v>
      </c>
      <c r="D21" s="8" t="s">
        <v>24</v>
      </c>
      <c r="E21" s="8" t="s">
        <v>24</v>
      </c>
      <c r="F21" s="8">
        <v>21</v>
      </c>
      <c r="G21" s="8" t="s">
        <v>23</v>
      </c>
      <c r="H21" s="8" t="s">
        <v>24</v>
      </c>
      <c r="I21" s="8" t="s">
        <v>37</v>
      </c>
      <c r="J21" s="8" t="s">
        <v>24</v>
      </c>
      <c r="K21" s="8" t="s">
        <v>23</v>
      </c>
      <c r="L21" s="8" t="s">
        <v>23</v>
      </c>
      <c r="M21" s="8" t="s">
        <v>24</v>
      </c>
      <c r="N21" s="8" t="s">
        <v>24</v>
      </c>
      <c r="O21" s="8" t="s">
        <v>23</v>
      </c>
      <c r="P21" s="8" t="s">
        <v>27</v>
      </c>
      <c r="Q21" s="8" t="s">
        <v>23</v>
      </c>
      <c r="R21" s="8" t="s">
        <v>28</v>
      </c>
      <c r="S21" s="8">
        <v>90.05</v>
      </c>
      <c r="T21" s="8">
        <v>1862.9</v>
      </c>
      <c r="U21" s="9" t="s">
        <v>24</v>
      </c>
      <c r="AF21" s="10" t="s">
        <v>14</v>
      </c>
      <c r="AG21" t="s">
        <v>65</v>
      </c>
    </row>
    <row r="22" spans="1:36" x14ac:dyDescent="0.25">
      <c r="A22" s="4" t="s">
        <v>56</v>
      </c>
      <c r="B22" s="5" t="s">
        <v>30</v>
      </c>
      <c r="C22" s="5">
        <v>1</v>
      </c>
      <c r="D22" s="5" t="s">
        <v>24</v>
      </c>
      <c r="E22" s="5" t="s">
        <v>24</v>
      </c>
      <c r="F22" s="5">
        <v>1</v>
      </c>
      <c r="G22" s="5" t="s">
        <v>24</v>
      </c>
      <c r="H22" s="5" t="s">
        <v>25</v>
      </c>
      <c r="I22" s="5" t="s">
        <v>26</v>
      </c>
      <c r="J22" s="5" t="s">
        <v>24</v>
      </c>
      <c r="K22" s="5" t="s">
        <v>24</v>
      </c>
      <c r="L22" s="5" t="s">
        <v>23</v>
      </c>
      <c r="M22" s="5" t="s">
        <v>24</v>
      </c>
      <c r="N22" s="5" t="s">
        <v>24</v>
      </c>
      <c r="O22" s="5" t="s">
        <v>23</v>
      </c>
      <c r="P22" s="5" t="s">
        <v>27</v>
      </c>
      <c r="Q22" s="5" t="s">
        <v>23</v>
      </c>
      <c r="R22" s="5" t="s">
        <v>28</v>
      </c>
      <c r="S22" s="5">
        <v>39.65</v>
      </c>
      <c r="T22" s="5">
        <v>39.65</v>
      </c>
      <c r="U22" s="6" t="s">
        <v>23</v>
      </c>
    </row>
    <row r="23" spans="1:36" x14ac:dyDescent="0.25">
      <c r="A23" s="7" t="s">
        <v>57</v>
      </c>
      <c r="B23" s="8" t="s">
        <v>30</v>
      </c>
      <c r="C23" s="8">
        <v>0</v>
      </c>
      <c r="D23" s="8" t="s">
        <v>23</v>
      </c>
      <c r="E23" s="8" t="s">
        <v>24</v>
      </c>
      <c r="F23" s="8">
        <v>12</v>
      </c>
      <c r="G23" s="8" t="s">
        <v>23</v>
      </c>
      <c r="H23" s="8" t="s">
        <v>24</v>
      </c>
      <c r="I23" s="8" t="s">
        <v>24</v>
      </c>
      <c r="J23" s="8" t="s">
        <v>46</v>
      </c>
      <c r="K23" s="8" t="s">
        <v>46</v>
      </c>
      <c r="L23" s="8" t="s">
        <v>46</v>
      </c>
      <c r="M23" s="8" t="s">
        <v>46</v>
      </c>
      <c r="N23" s="8" t="s">
        <v>46</v>
      </c>
      <c r="O23" s="8" t="s">
        <v>46</v>
      </c>
      <c r="P23" s="8" t="s">
        <v>31</v>
      </c>
      <c r="Q23" s="8" t="s">
        <v>24</v>
      </c>
      <c r="R23" s="8" t="s">
        <v>35</v>
      </c>
      <c r="S23" s="8">
        <v>19.8</v>
      </c>
      <c r="T23" s="8">
        <v>202.25</v>
      </c>
      <c r="U23" s="9" t="s">
        <v>24</v>
      </c>
      <c r="AF23" s="10" t="s">
        <v>68</v>
      </c>
      <c r="AG23" s="10" t="s">
        <v>69</v>
      </c>
    </row>
    <row r="24" spans="1:36" x14ac:dyDescent="0.25">
      <c r="A24" s="4" t="s">
        <v>58</v>
      </c>
      <c r="B24" s="5" t="s">
        <v>30</v>
      </c>
      <c r="C24" s="5">
        <v>0</v>
      </c>
      <c r="D24" s="5" t="s">
        <v>24</v>
      </c>
      <c r="E24" s="5" t="s">
        <v>24</v>
      </c>
      <c r="F24" s="5">
        <v>1</v>
      </c>
      <c r="G24" s="5" t="s">
        <v>23</v>
      </c>
      <c r="H24" s="5" t="s">
        <v>24</v>
      </c>
      <c r="I24" s="5" t="s">
        <v>24</v>
      </c>
      <c r="J24" s="5" t="s">
        <v>46</v>
      </c>
      <c r="K24" s="5" t="s">
        <v>46</v>
      </c>
      <c r="L24" s="5" t="s">
        <v>46</v>
      </c>
      <c r="M24" s="5" t="s">
        <v>46</v>
      </c>
      <c r="N24" s="5" t="s">
        <v>46</v>
      </c>
      <c r="O24" s="5" t="s">
        <v>46</v>
      </c>
      <c r="P24" s="5" t="s">
        <v>27</v>
      </c>
      <c r="Q24" s="5" t="s">
        <v>24</v>
      </c>
      <c r="R24" s="5" t="s">
        <v>32</v>
      </c>
      <c r="S24" s="5">
        <v>20.149999999999999</v>
      </c>
      <c r="T24" s="5">
        <v>20.149999999999999</v>
      </c>
      <c r="U24" s="6" t="s">
        <v>23</v>
      </c>
      <c r="AG24" t="s">
        <v>24</v>
      </c>
      <c r="AI24" t="s">
        <v>70</v>
      </c>
      <c r="AJ24" t="s">
        <v>64</v>
      </c>
    </row>
    <row r="25" spans="1:36" x14ac:dyDescent="0.25">
      <c r="A25" s="7" t="s">
        <v>59</v>
      </c>
      <c r="B25" s="8" t="s">
        <v>22</v>
      </c>
      <c r="C25" s="8">
        <v>0</v>
      </c>
      <c r="D25" s="8" t="s">
        <v>23</v>
      </c>
      <c r="E25" s="8" t="s">
        <v>24</v>
      </c>
      <c r="F25" s="8">
        <v>58</v>
      </c>
      <c r="G25" s="8" t="s">
        <v>23</v>
      </c>
      <c r="H25" s="8" t="s">
        <v>23</v>
      </c>
      <c r="I25" s="8" t="s">
        <v>26</v>
      </c>
      <c r="J25" s="8" t="s">
        <v>24</v>
      </c>
      <c r="K25" s="8" t="s">
        <v>23</v>
      </c>
      <c r="L25" s="8" t="s">
        <v>24</v>
      </c>
      <c r="M25" s="8" t="s">
        <v>23</v>
      </c>
      <c r="N25" s="8" t="s">
        <v>24</v>
      </c>
      <c r="O25" s="8" t="s">
        <v>24</v>
      </c>
      <c r="P25" s="8" t="s">
        <v>47</v>
      </c>
      <c r="Q25" s="8" t="s">
        <v>23</v>
      </c>
      <c r="R25" s="8" t="s">
        <v>40</v>
      </c>
      <c r="S25" s="8">
        <v>59.9</v>
      </c>
      <c r="T25" s="8">
        <v>3505.1</v>
      </c>
      <c r="U25" s="9" t="s">
        <v>24</v>
      </c>
      <c r="AF25" s="10" t="s">
        <v>63</v>
      </c>
      <c r="AG25" t="s">
        <v>24</v>
      </c>
      <c r="AH25" t="s">
        <v>23</v>
      </c>
    </row>
    <row r="26" spans="1:36" x14ac:dyDescent="0.25">
      <c r="A26" s="4" t="s">
        <v>60</v>
      </c>
      <c r="B26" s="5" t="s">
        <v>30</v>
      </c>
      <c r="C26" s="5">
        <v>0</v>
      </c>
      <c r="D26" s="5" t="s">
        <v>23</v>
      </c>
      <c r="E26" s="5" t="s">
        <v>23</v>
      </c>
      <c r="F26" s="5">
        <v>49</v>
      </c>
      <c r="G26" s="5" t="s">
        <v>23</v>
      </c>
      <c r="H26" s="5" t="s">
        <v>24</v>
      </c>
      <c r="I26" s="5" t="s">
        <v>26</v>
      </c>
      <c r="J26" s="5" t="s">
        <v>23</v>
      </c>
      <c r="K26" s="5" t="s">
        <v>23</v>
      </c>
      <c r="L26" s="5" t="s">
        <v>24</v>
      </c>
      <c r="M26" s="5" t="s">
        <v>23</v>
      </c>
      <c r="N26" s="5" t="s">
        <v>24</v>
      </c>
      <c r="O26" s="5" t="s">
        <v>24</v>
      </c>
      <c r="P26" s="5" t="s">
        <v>27</v>
      </c>
      <c r="Q26" s="5" t="s">
        <v>24</v>
      </c>
      <c r="R26" s="5" t="s">
        <v>40</v>
      </c>
      <c r="S26" s="5">
        <v>59.6</v>
      </c>
      <c r="T26" s="5">
        <v>2970.3</v>
      </c>
      <c r="U26" s="6" t="s">
        <v>24</v>
      </c>
      <c r="AF26" s="11" t="s">
        <v>39</v>
      </c>
      <c r="AH26">
        <v>1</v>
      </c>
      <c r="AI26">
        <v>1</v>
      </c>
      <c r="AJ26">
        <v>1</v>
      </c>
    </row>
    <row r="27" spans="1:36" x14ac:dyDescent="0.25">
      <c r="A27" s="7" t="s">
        <v>61</v>
      </c>
      <c r="B27" s="8" t="s">
        <v>22</v>
      </c>
      <c r="C27" s="8">
        <v>0</v>
      </c>
      <c r="D27" s="8" t="s">
        <v>24</v>
      </c>
      <c r="E27" s="8" t="s">
        <v>24</v>
      </c>
      <c r="F27" s="8">
        <v>30</v>
      </c>
      <c r="G27" s="8" t="s">
        <v>23</v>
      </c>
      <c r="H27" s="8" t="s">
        <v>24</v>
      </c>
      <c r="I27" s="8" t="s">
        <v>26</v>
      </c>
      <c r="J27" s="8" t="s">
        <v>23</v>
      </c>
      <c r="K27" s="8" t="s">
        <v>23</v>
      </c>
      <c r="L27" s="8" t="s">
        <v>24</v>
      </c>
      <c r="M27" s="8" t="s">
        <v>24</v>
      </c>
      <c r="N27" s="8" t="s">
        <v>24</v>
      </c>
      <c r="O27" s="8" t="s">
        <v>24</v>
      </c>
      <c r="P27" s="8" t="s">
        <v>27</v>
      </c>
      <c r="Q27" s="8" t="s">
        <v>23</v>
      </c>
      <c r="R27" s="8" t="s">
        <v>35</v>
      </c>
      <c r="S27" s="8">
        <v>55.3</v>
      </c>
      <c r="T27" s="8">
        <v>1530.6</v>
      </c>
      <c r="U27" s="9" t="s">
        <v>24</v>
      </c>
      <c r="AF27" s="11" t="s">
        <v>59</v>
      </c>
      <c r="AG27">
        <v>1</v>
      </c>
      <c r="AI27">
        <v>1</v>
      </c>
      <c r="AJ27">
        <v>1</v>
      </c>
    </row>
    <row r="28" spans="1:36" x14ac:dyDescent="0.25">
      <c r="A28" s="4" t="s">
        <v>62</v>
      </c>
      <c r="B28" s="5" t="s">
        <v>30</v>
      </c>
      <c r="C28" s="5">
        <v>0</v>
      </c>
      <c r="D28" s="5" t="s">
        <v>23</v>
      </c>
      <c r="E28" s="5" t="s">
        <v>23</v>
      </c>
      <c r="F28" s="5">
        <v>47</v>
      </c>
      <c r="G28" s="5" t="s">
        <v>23</v>
      </c>
      <c r="H28" s="5" t="s">
        <v>23</v>
      </c>
      <c r="I28" s="5" t="s">
        <v>37</v>
      </c>
      <c r="J28" s="5" t="s">
        <v>24</v>
      </c>
      <c r="K28" s="5" t="s">
        <v>23</v>
      </c>
      <c r="L28" s="5" t="s">
        <v>24</v>
      </c>
      <c r="M28" s="5" t="s">
        <v>24</v>
      </c>
      <c r="N28" s="5" t="s">
        <v>23</v>
      </c>
      <c r="O28" s="5" t="s">
        <v>23</v>
      </c>
      <c r="P28" s="5" t="s">
        <v>27</v>
      </c>
      <c r="Q28" s="5" t="s">
        <v>23</v>
      </c>
      <c r="R28" s="5" t="s">
        <v>28</v>
      </c>
      <c r="S28" s="5">
        <v>99.35</v>
      </c>
      <c r="T28" s="5">
        <v>4749.1499999999996</v>
      </c>
      <c r="U28" s="6" t="s">
        <v>23</v>
      </c>
      <c r="AF28" s="11" t="s">
        <v>33</v>
      </c>
      <c r="AG28">
        <v>1</v>
      </c>
      <c r="AI28">
        <v>1</v>
      </c>
      <c r="AJ28">
        <v>1</v>
      </c>
    </row>
    <row r="29" spans="1:36" x14ac:dyDescent="0.25">
      <c r="AF29" s="11" t="s">
        <v>60</v>
      </c>
      <c r="AG29">
        <v>1</v>
      </c>
      <c r="AI29">
        <v>1</v>
      </c>
      <c r="AJ29">
        <v>1</v>
      </c>
    </row>
    <row r="30" spans="1:36" x14ac:dyDescent="0.25">
      <c r="AF30" s="11" t="s">
        <v>43</v>
      </c>
      <c r="AG30">
        <v>1</v>
      </c>
      <c r="AI30">
        <v>1</v>
      </c>
      <c r="AJ30">
        <v>1</v>
      </c>
    </row>
    <row r="31" spans="1:36" x14ac:dyDescent="0.25">
      <c r="AF31" s="11" t="s">
        <v>62</v>
      </c>
      <c r="AH31">
        <v>1</v>
      </c>
      <c r="AI31">
        <v>1</v>
      </c>
      <c r="AJ31">
        <v>1</v>
      </c>
    </row>
    <row r="32" spans="1:36" x14ac:dyDescent="0.25">
      <c r="AF32" s="11" t="s">
        <v>41</v>
      </c>
      <c r="AG32">
        <v>1</v>
      </c>
      <c r="AI32">
        <v>1</v>
      </c>
      <c r="AJ32">
        <v>1</v>
      </c>
    </row>
    <row r="33" spans="32:36" x14ac:dyDescent="0.25">
      <c r="AF33" s="11" t="s">
        <v>61</v>
      </c>
      <c r="AG33">
        <v>1</v>
      </c>
      <c r="AI33">
        <v>1</v>
      </c>
      <c r="AJ33">
        <v>1</v>
      </c>
    </row>
    <row r="34" spans="32:36" x14ac:dyDescent="0.25">
      <c r="AF34" s="11" t="s">
        <v>21</v>
      </c>
      <c r="AG34">
        <v>1</v>
      </c>
      <c r="AI34">
        <v>1</v>
      </c>
      <c r="AJ34">
        <v>1</v>
      </c>
    </row>
    <row r="35" spans="32:36" x14ac:dyDescent="0.25">
      <c r="AF35" s="11" t="s">
        <v>36</v>
      </c>
      <c r="AG35">
        <v>1</v>
      </c>
      <c r="AI35">
        <v>1</v>
      </c>
      <c r="AJ35">
        <v>1</v>
      </c>
    </row>
    <row r="36" spans="32:36" x14ac:dyDescent="0.25">
      <c r="AF36" s="11" t="s">
        <v>44</v>
      </c>
      <c r="AG36">
        <v>1</v>
      </c>
      <c r="AI36">
        <v>1</v>
      </c>
      <c r="AJ36">
        <v>1</v>
      </c>
    </row>
    <row r="37" spans="32:36" x14ac:dyDescent="0.25">
      <c r="AF37" s="11" t="s">
        <v>64</v>
      </c>
      <c r="AG37">
        <v>9</v>
      </c>
      <c r="AH37">
        <v>2</v>
      </c>
      <c r="AI37">
        <v>11</v>
      </c>
      <c r="AJ37">
        <v>11</v>
      </c>
    </row>
  </sheetData>
  <pageMargins left="0.7" right="0.7" top="0.75" bottom="0.75" header="0.3" footer="0.3"/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Sheet2</vt:lpstr>
      <vt:lpstr>Sheet3</vt:lpstr>
      <vt:lpstr>Sheet4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MITS</dc:creator>
  <cp:lastModifiedBy>MITS</cp:lastModifiedBy>
  <dcterms:created xsi:type="dcterms:W3CDTF">2026-06-04T10:39:20Z</dcterms:created>
  <dcterms:modified xsi:type="dcterms:W3CDTF">2026-06-05T04:23:14Z</dcterms:modified>
</cp:coreProperties>
</file>
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ITS\Desktop\"/>
    </mc:Choice>
  </mc:AlternateContent>
  <xr:revisionPtr revIDLastSave="0" documentId="13_ncr:1_{CB4DA401-1834-41BC-A84F-396F62E4CAFC}" xr6:coauthVersionLast="47" xr6:coauthVersionMax="47" xr10:uidLastSave="{00000000-0000-0000-0000-000000000000}"/>
  <bookViews>
    <workbookView xWindow="-120" yWindow="-120" windowWidth="29040" windowHeight="15720" activeTab="4" xr2:uid="{1EB1A7D3-50D9-43B4-AF01-4B7F69FF11EC}"/>
  </bookViews>
  <sheets>
    <sheet name="Scenario PivotTable" sheetId="2" r:id="rId1"/>
    <sheet name="Scenario Summary" sheetId="3" r:id="rId2"/>
    <sheet name="Scenario Summary 2" sheetId="4" r:id="rId3"/>
    <sheet name="Sheet1" sheetId="1" r:id="rId4"/>
    <sheet name="Sheet2" sheetId="5" r:id="rId5"/>
  </sheet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42" i="1" l="1"/>
  <c r="AL43" i="1"/>
  <c r="AL44" i="1"/>
  <c r="AL41" i="1"/>
  <c r="AO40" i="1" s="1"/>
  <c r="AF43" i="1"/>
  <c r="V14" i="1" a="1"/>
  <c r="V14" i="1" s="1"/>
  <c r="V13" i="1" a="1"/>
  <c r="V13" i="1" s="1"/>
  <c r="V12" i="1"/>
  <c r="K8" i="1" a="1"/>
  <c r="K8" i="1"/>
  <c r="K20" i="1" a="1"/>
  <c r="K20" i="1"/>
  <c r="K15" i="1" a="1"/>
  <c r="K15" i="1"/>
  <c r="Q3" i="1"/>
  <c r="Q4" i="1" s="1"/>
  <c r="Q5" i="1" s="1"/>
  <c r="Q6" i="1" s="1"/>
  <c r="Q7" i="1" s="1"/>
  <c r="Q8" i="1" s="1"/>
  <c r="Q9" i="1" s="1"/>
  <c r="Q10" i="1" s="1"/>
  <c r="Q11" i="1" s="1"/>
  <c r="Q12" i="1" s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AR4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<sst xmlns="http://schemas.openxmlformats.org/spreadsheetml/2006/main" count="804" uniqueCount="244">
  <si>
    <t>TransactionID</t>
  </si>
  <si>
    <t>CustomerID</t>
  </si>
  <si>
    <t>ProductID</t>
  </si>
  <si>
    <t>ProductCategory</t>
  </si>
  <si>
    <t>Quantity</t>
  </si>
  <si>
    <t>Price</t>
  </si>
  <si>
    <t>Discount</t>
  </si>
  <si>
    <t>TransactionDate</t>
  </si>
  <si>
    <t>PaymentMethod</t>
  </si>
  <si>
    <t>CustomerLocation</t>
  </si>
  <si>
    <t>CustomerAge</t>
  </si>
  <si>
    <t>CustomerGender</t>
  </si>
  <si>
    <t>CustomerIncomeGroup</t>
  </si>
  <si>
    <t>CustomerLoyaltyScore</t>
  </si>
  <si>
    <t>Region</t>
  </si>
  <si>
    <t>Sales</t>
  </si>
  <si>
    <t>Profit</t>
  </si>
  <si>
    <t>Clothing</t>
  </si>
  <si>
    <t>Cash on Delivery</t>
  </si>
  <si>
    <t>New Juan</t>
  </si>
  <si>
    <t>Female</t>
  </si>
  <si>
    <t>Medium</t>
  </si>
  <si>
    <t>North</t>
  </si>
  <si>
    <t>Beauty</t>
  </si>
  <si>
    <t>Debit Card</t>
  </si>
  <si>
    <t>South Julie</t>
  </si>
  <si>
    <t>Other</t>
  </si>
  <si>
    <t>High</t>
  </si>
  <si>
    <t>South</t>
  </si>
  <si>
    <t>Toys</t>
  </si>
  <si>
    <t>West Carrieview</t>
  </si>
  <si>
    <t>East</t>
  </si>
  <si>
    <t>Bank Transfer</t>
  </si>
  <si>
    <t>Christianberg</t>
  </si>
  <si>
    <t>Low</t>
  </si>
  <si>
    <t>West</t>
  </si>
  <si>
    <t>Electronics</t>
  </si>
  <si>
    <t>South Williamhaven</t>
  </si>
  <si>
    <t>Books</t>
  </si>
  <si>
    <t>Stephenfort</t>
  </si>
  <si>
    <t>Male</t>
  </si>
  <si>
    <t>Credit Card</t>
  </si>
  <si>
    <t>North Terristad</t>
  </si>
  <si>
    <t>Sports</t>
  </si>
  <si>
    <t>Pachecotown</t>
  </si>
  <si>
    <t>Port Philipberg</t>
  </si>
  <si>
    <t>Jenniferfurt</t>
  </si>
  <si>
    <t>Lake Carolyn</t>
  </si>
  <si>
    <t>Amandaborough</t>
  </si>
  <si>
    <t>South Maria</t>
  </si>
  <si>
    <t>Home &amp; Kitchen</t>
  </si>
  <si>
    <t>West Marissa</t>
  </si>
  <si>
    <t>Austinburgh</t>
  </si>
  <si>
    <t>Lake Jesse</t>
  </si>
  <si>
    <t>Marioburgh</t>
  </si>
  <si>
    <t>PayPal</t>
  </si>
  <si>
    <t>Ryanhaven</t>
  </si>
  <si>
    <t>Dickersonmouth</t>
  </si>
  <si>
    <t>Annaborough</t>
  </si>
  <si>
    <t>Ramirezburgh</t>
  </si>
  <si>
    <t>Sextonberg</t>
  </si>
  <si>
    <t>Beasleyshire</t>
  </si>
  <si>
    <t>Lake Brittneyland</t>
  </si>
  <si>
    <t>South John</t>
  </si>
  <si>
    <t>New Devin</t>
  </si>
  <si>
    <t>Lake Denise</t>
  </si>
  <si>
    <t>South Susan</t>
  </si>
  <si>
    <t>Johnsonchester</t>
  </si>
  <si>
    <t>Martinberg</t>
  </si>
  <si>
    <t>Lake Billy</t>
  </si>
  <si>
    <t>Josephborough</t>
  </si>
  <si>
    <t>Noahbury</t>
  </si>
  <si>
    <t>Bowmanport</t>
  </si>
  <si>
    <t>South Melvinville</t>
  </si>
  <si>
    <t>East Brittany</t>
  </si>
  <si>
    <t>Lake Stephaniefurt</t>
  </si>
  <si>
    <t>North Adam</t>
  </si>
  <si>
    <t>Sancheztown</t>
  </si>
  <si>
    <t>Burtonmouth</t>
  </si>
  <si>
    <t>Lake Josephmouth</t>
  </si>
  <si>
    <t>CHCOH</t>
  </si>
  <si>
    <t>KADAPA,ANDHRA,INDIA,WORLD,Earth,SOLAR SYSTEM,MILKY WAY GALAXY.</t>
  </si>
  <si>
    <t>WRAP</t>
  </si>
  <si>
    <t>VIV</t>
  </si>
  <si>
    <t>Vivek</t>
  </si>
  <si>
    <t>CSE</t>
  </si>
  <si>
    <t>Guntur</t>
  </si>
  <si>
    <t>Rahul</t>
  </si>
  <si>
    <t>ECE</t>
  </si>
  <si>
    <t>Hyderabad</t>
  </si>
  <si>
    <t>Sai</t>
  </si>
  <si>
    <t>MECH</t>
  </si>
  <si>
    <t>Vijayawada</t>
  </si>
  <si>
    <t>Anjali</t>
  </si>
  <si>
    <t>Chennai</t>
  </si>
  <si>
    <t>Rohan</t>
  </si>
  <si>
    <t>EEE</t>
  </si>
  <si>
    <t>Bangalore</t>
  </si>
  <si>
    <t>A</t>
  </si>
  <si>
    <t>vivek@gmail.com</t>
  </si>
  <si>
    <t>rahul@gmail.com</t>
  </si>
  <si>
    <t>sai@gmail.com</t>
  </si>
  <si>
    <t>anjali@gmail.com</t>
  </si>
  <si>
    <t>rohan@gmail.com</t>
  </si>
  <si>
    <t>Kiran</t>
  </si>
  <si>
    <t>CIVIL</t>
  </si>
  <si>
    <t>Mumbai</t>
  </si>
  <si>
    <t>kiran@gmail.com</t>
  </si>
  <si>
    <t>Priya</t>
  </si>
  <si>
    <t>Pune</t>
  </si>
  <si>
    <t>priya@gmail.com</t>
  </si>
  <si>
    <t>Teja</t>
  </si>
  <si>
    <t>Delhi</t>
  </si>
  <si>
    <t>teja@gmail.com</t>
  </si>
  <si>
    <t>Arun</t>
  </si>
  <si>
    <t>Kolkata</t>
  </si>
  <si>
    <t>arun@gmail.com</t>
  </si>
  <si>
    <t>Divya</t>
  </si>
  <si>
    <t>Jaipur</t>
  </si>
  <si>
    <t>divya@gmail.com</t>
  </si>
  <si>
    <t>21</t>
  </si>
  <si>
    <t>85000</t>
  </si>
  <si>
    <t>102</t>
  </si>
  <si>
    <t>22</t>
  </si>
  <si>
    <t>72000</t>
  </si>
  <si>
    <t>103</t>
  </si>
  <si>
    <t>20</t>
  </si>
  <si>
    <t>68000</t>
  </si>
  <si>
    <t>104</t>
  </si>
  <si>
    <t>23</t>
  </si>
  <si>
    <t>91000</t>
  </si>
  <si>
    <t>105</t>
  </si>
  <si>
    <t>24</t>
  </si>
  <si>
    <t>76000</t>
  </si>
  <si>
    <t>106</t>
  </si>
  <si>
    <t>64000</t>
  </si>
  <si>
    <t>107</t>
  </si>
  <si>
    <t>87000</t>
  </si>
  <si>
    <t>108</t>
  </si>
  <si>
    <t>79000</t>
  </si>
  <si>
    <t>109</t>
  </si>
  <si>
    <t>70000</t>
  </si>
  <si>
    <t>110</t>
  </si>
  <si>
    <t>93000</t>
  </si>
  <si>
    <t>TEXT COLUMNS</t>
  </si>
  <si>
    <t>VIV V</t>
  </si>
  <si>
    <t>VIV KI</t>
  </si>
  <si>
    <t>V</t>
  </si>
  <si>
    <t>B</t>
  </si>
  <si>
    <t>Total</t>
  </si>
  <si>
    <t>Row Labels</t>
  </si>
  <si>
    <t>$AC$49</t>
  </si>
  <si>
    <t>WORST</t>
  </si>
  <si>
    <t>NORMAL</t>
  </si>
  <si>
    <t>BEST</t>
  </si>
  <si>
    <t>$AC$43:$AC$47 by</t>
  </si>
  <si>
    <t>(All)</t>
  </si>
  <si>
    <t>$AC$45:$AC$47 by</t>
  </si>
  <si>
    <t>$AC$43:$AC$44 by</t>
  </si>
  <si>
    <t>$AC$43</t>
  </si>
  <si>
    <t>$AC$44</t>
  </si>
  <si>
    <t>$AC$45</t>
  </si>
  <si>
    <t>$AC$46</t>
  </si>
  <si>
    <t>$AC$47</t>
  </si>
  <si>
    <t>Created by MITS on 08-06-2026
Modified by MITS on 08-06-2026</t>
  </si>
  <si>
    <t>Created by MITS on 08-06-2026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</si>
  <si>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</si>
  <si>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</si>
  <si>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</si>
  <si>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</si>
  <si>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</si>
  <si>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</si>
  <si>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</si>
  <si>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C</t>
  </si>
  <si>
    <t>D</t>
  </si>
  <si>
    <t>$AK$41</t>
  </si>
  <si>
    <t>M</t>
  </si>
  <si>
    <t>date</t>
  </si>
  <si>
    <t>voucher type</t>
  </si>
  <si>
    <t>voucher no</t>
  </si>
  <si>
    <t>state</t>
  </si>
  <si>
    <t>courses</t>
  </si>
  <si>
    <t>quantity</t>
  </si>
  <si>
    <t>sales</t>
  </si>
  <si>
    <t>lmp/345</t>
  </si>
  <si>
    <t>lmp/346</t>
  </si>
  <si>
    <t>lmp/347</t>
  </si>
  <si>
    <t>lmp/348</t>
  </si>
  <si>
    <t>andhra</t>
  </si>
  <si>
    <t>telangana</t>
  </si>
  <si>
    <t>karnataka</t>
  </si>
  <si>
    <t>tn</t>
  </si>
  <si>
    <t>ms office</t>
  </si>
  <si>
    <t>excel</t>
  </si>
  <si>
    <t>powerbi</t>
  </si>
  <si>
    <t>tableau</t>
  </si>
  <si>
    <t>Date</t>
  </si>
  <si>
    <t>Name</t>
  </si>
  <si>
    <t>vaocher type</t>
  </si>
  <si>
    <t>Viv</t>
  </si>
  <si>
    <t>imp/349</t>
  </si>
  <si>
    <t>marks1</t>
  </si>
  <si>
    <t>m2</t>
  </si>
  <si>
    <t>m3</t>
  </si>
  <si>
    <t>m4</t>
  </si>
  <si>
    <t>vivek</t>
  </si>
  <si>
    <t>a</t>
  </si>
  <si>
    <t>b</t>
  </si>
  <si>
    <t>c</t>
  </si>
  <si>
    <t>d</t>
  </si>
  <si>
    <t>vilbidfpbvaosbasfbn</t>
  </si>
  <si>
    <t>bfsn;bdfml;dfbdf</t>
  </si>
  <si>
    <t>sno</t>
  </si>
  <si>
    <t>name</t>
  </si>
  <si>
    <t>branch</t>
  </si>
  <si>
    <t>sangameer</t>
  </si>
  <si>
    <t>csd</t>
  </si>
  <si>
    <t>cai</t>
  </si>
  <si>
    <t>age</t>
  </si>
  <si>
    <t>class</t>
  </si>
  <si>
    <t>laddu</t>
  </si>
  <si>
    <t>interest</t>
  </si>
  <si>
    <t>viv</t>
  </si>
  <si>
    <t>music</t>
  </si>
  <si>
    <t>aircraft</t>
  </si>
  <si>
    <t>cinema</t>
  </si>
  <si>
    <t>pinterest</t>
  </si>
  <si>
    <t>wallpapers</t>
  </si>
  <si>
    <t>insta</t>
  </si>
  <si>
    <t>media</t>
  </si>
  <si>
    <t>linkedin</t>
  </si>
  <si>
    <t>jobs</t>
  </si>
  <si>
    <t>amazon</t>
  </si>
  <si>
    <t>ecommerce</t>
  </si>
  <si>
    <t>x</t>
  </si>
  <si>
    <t>multimedia</t>
  </si>
  <si>
    <t>youtube</t>
  </si>
  <si>
    <t>video sharing</t>
  </si>
  <si>
    <t>product</t>
  </si>
  <si>
    <t>sale</t>
  </si>
  <si>
    <t>iphone</t>
  </si>
  <si>
    <t>earpods</t>
  </si>
  <si>
    <t>headphones</t>
  </si>
  <si>
    <t>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</si>
</sst>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Arial Unicode MS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Arial Black"/>
      <family val="2"/>
    </font>
    <font>
      <sz val="16"/>
      <color theme="1"/>
      <name val="Arial Black"/>
      <family val="2"/>
    </font>
  </fonts>
  <fills count="1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2" fillId="0" borderId="1" xfId="0" applyFont="1" applyBorder="1"/>
    <xf numFmtId="2" fontId="2" fillId="0" borderId="1" xfId="0" applyNumberFormat="1" applyFont="1" applyBorder="1"/>
    <xf numFmtId="2" fontId="2" fillId="2" borderId="1" xfId="0" applyNumberFormat="1" applyFont="1" applyFill="1" applyBorder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right" vertical="center" wrapText="1"/>
    </xf>
    <xf numFmtId="0" fontId="0" fillId="0" borderId="1" xfId="0" applyBorder="1"/>
    <xf numFmtId="2" fontId="0" fillId="0" borderId="1" xfId="0" applyNumberFormat="1" applyBorder="1"/>
    <xf numFmtId="22" fontId="0" fillId="0" borderId="1" xfId="0" applyNumberFormat="1" applyBorder="1"/>
    <xf numFmtId="2" fontId="0" fillId="0" borderId="1" xfId="0" applyNumberFormat="1" applyBorder="1" applyAlignment="1">
      <alignment vertical="center" wrapText="1"/>
    </xf>
    <xf numFmtId="2" fontId="0" fillId="0" borderId="1" xfId="0" applyNumberFormat="1" applyBorder="1" applyAlignment="1">
      <alignment horizontal="right" vertical="center" wrapText="1"/>
    </xf>
    <xf numFmtId="2" fontId="0" fillId="0" borderId="0" xfId="0" applyNumberFormat="1"/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/>
    <xf numFmtId="49" fontId="0" fillId="0" borderId="0" xfId="0" applyNumberFormat="1"/>
    <xf numFmtId="0" fontId="3" fillId="0" borderId="0" xfId="0" applyFont="1" applyAlignment="1">
      <alignment vertical="center" wrapText="1"/>
    </xf>
    <xf numFmtId="9" fontId="0" fillId="0" borderId="0" xfId="0" applyNumberFormat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9" fontId="0" fillId="0" borderId="0" xfId="0" applyNumberFormat="1"/>
    <xf numFmtId="0" fontId="0" fillId="0" borderId="3" xfId="0" applyBorder="1"/>
    <xf numFmtId="0" fontId="4" fillId="3" borderId="4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0" fillId="0" borderId="5" xfId="0" applyBorder="1"/>
    <xf numFmtId="0" fontId="5" fillId="4" borderId="0" xfId="0" applyFont="1" applyFill="1" applyAlignment="1">
      <alignment horizontal="left"/>
    </xf>
    <xf numFmtId="0" fontId="6" fillId="4" borderId="5" xfId="0" applyFont="1" applyFill="1" applyBorder="1" applyAlignment="1">
      <alignment horizontal="left"/>
    </xf>
    <xf numFmtId="0" fontId="5" fillId="4" borderId="3" xfId="0" applyFont="1" applyFill="1" applyBorder="1" applyAlignment="1">
      <alignment horizontal="left"/>
    </xf>
    <xf numFmtId="0" fontId="7" fillId="3" borderId="2" xfId="0" applyFont="1" applyFill="1" applyBorder="1" applyAlignment="1">
      <alignment horizontal="right"/>
    </xf>
    <xf numFmtId="0" fontId="7" fillId="3" borderId="4" xfId="0" applyFont="1" applyFill="1" applyBorder="1" applyAlignment="1">
      <alignment horizontal="right"/>
    </xf>
    <xf numFmtId="0" fontId="0" fillId="5" borderId="0" xfId="0" applyFill="1"/>
    <xf numFmtId="9" fontId="0" fillId="5" borderId="0" xfId="0" applyNumberFormat="1" applyFill="1"/>
    <xf numFmtId="0" fontId="8" fillId="0" borderId="0" xfId="0" applyFont="1" applyAlignment="1">
      <alignment vertical="top" wrapText="1"/>
    </xf>
    <xf numFmtId="1" fontId="0" fillId="0" borderId="0" xfId="0" applyNumberFormat="1"/>
    <xf numFmtId="14" fontId="0" fillId="0" borderId="1" xfId="0" applyNumberFormat="1" applyBorder="1"/>
    <xf numFmtId="0" fontId="9" fillId="7" borderId="1" xfId="0" applyFont="1" applyFill="1" applyBorder="1"/>
    <xf numFmtId="0" fontId="1" fillId="8" borderId="0" xfId="0" applyFont="1" applyFill="1"/>
    <xf numFmtId="0" fontId="1" fillId="6" borderId="0" xfId="0" applyFont="1" applyFill="1"/>
    <xf numFmtId="0" fontId="10" fillId="8" borderId="1" xfId="0" applyFont="1" applyFill="1" applyBorder="1"/>
    <xf numFmtId="0" fontId="10" fillId="6" borderId="1" xfId="0" applyFon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49" fontId="0" fillId="0" borderId="1" xfId="0" applyNumberFormat="1" applyBorder="1"/>
    <xf numFmtId="0" fontId="12" fillId="9" borderId="1" xfId="0" applyFont="1" applyFill="1" applyBorder="1"/>
    <xf numFmtId="0" fontId="0" fillId="0" borderId="7" xfId="0" applyBorder="1"/>
    <xf numFmtId="0" fontId="0" fillId="0" borderId="8" xfId="0" applyBorder="1"/>
    <xf numFmtId="0" fontId="13" fillId="9" borderId="1" xfId="0" applyFont="1" applyFill="1" applyBorder="1"/>
    <xf numFmtId="0" fontId="0" fillId="10" borderId="1" xfId="0" applyFill="1" applyBorder="1"/>
    <xf numFmtId="0" fontId="11" fillId="11" borderId="1" xfId="0" applyFont="1" applyFill="1" applyBorder="1"/>
    <xf numFmtId="0" fontId="13" fillId="9" borderId="7" xfId="0" applyFont="1" applyFill="1" applyBorder="1"/>
    <xf numFmtId="0" fontId="0" fillId="0" borderId="9" xfId="0" applyBorder="1"/>
    <xf numFmtId="0" fontId="0" fillId="12" borderId="1" xfId="0" applyFill="1" applyBorder="1"/>
    <xf numFmtId="0" fontId="0" fillId="12" borderId="7" xfId="0" applyFill="1" applyBorder="1"/>
    <xf numFmtId="0" fontId="13" fillId="11" borderId="1" xfId="0" applyFont="1" applyFill="1" applyBorder="1"/>
    <xf numFmtId="0" fontId="9" fillId="13" borderId="1" xfId="0" applyFont="1" applyFill="1" applyBorder="1"/>
    <xf numFmtId="0" fontId="0" fillId="14" borderId="1" xfId="0" applyFill="1" applyBorder="1"/>
    <xf numFmtId="0" fontId="11" fillId="16" borderId="1" xfId="0" applyFont="1" applyFill="1" applyBorder="1"/>
    <xf numFmtId="0" fontId="11" fillId="15" borderId="1" xfId="0" applyFont="1" applyFill="1" applyBorder="1"/>
    <xf numFmtId="0" fontId="0" fillId="9" borderId="1" xfId="0" applyFill="1" applyBorder="1"/>
    <xf numFmtId="0" fontId="0" fillId="0" borderId="6" xfId="0" applyBorder="1"/>
    <xf numFmtId="0" fontId="11" fillId="11" borderId="8" xfId="0" applyFont="1" applyFill="1" applyBorder="1"/>
    <xf numFmtId="0" fontId="0" fillId="12" borderId="6" xfId="0" applyFill="1" applyBorder="1"/>
    <xf numFmtId="0" fontId="11" fillId="11" borderId="7" xfId="0" applyFont="1" applyFill="1" applyBorder="1"/>
    <xf numFmtId="0" fontId="0" fillId="12" borderId="9" xfId="0" applyFill="1" applyBorder="1"/>
    <xf numFmtId="0" fontId="11" fillId="11" borderId="9" xfId="0" applyFont="1" applyFill="1" applyBorder="1"/>
    <xf numFmtId="0" fontId="0" fillId="12" borderId="8" xfId="0" applyFill="1" applyBorder="1"/>
    <xf numFmtId="0" fontId="13" fillId="9" borderId="6" xfId="0" applyFont="1" applyFill="1" applyBorder="1"/>
  </cellXfs>
  <cellStyles count="1"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428625</xdr:colOff>
      <xdr:row>49</xdr:row>
      <xdr:rowOff>142875</xdr:rowOff>
    </xdr:from>
    <xdr:to>
      <xdr:col>32</xdr:col>
      <xdr:colOff>200025</xdr:colOff>
      <xdr:row>56</xdr:row>
      <xdr:rowOff>19050</xdr:rowOff>
    </xdr:to>
    <xdr:sp macro="[0]!Macro2" textlink="">
      <xdr:nvSpPr>
        <xdr:cNvPr id="2" name="Rectangle 1">
          <a:extLst>
            <a:ext uri="{FF2B5EF4-FFF2-40B4-BE49-F238E27FC236}">
              <a16:creationId xmlns:a16="http://schemas.microsoft.com/office/drawing/2014/main" id="{CAD88DAE-CED2-2D07-3CA2-AECD1E7FC2F6}"/>
            </a:ext>
          </a:extLst>
        </xdr:cNvPr>
        <xdr:cNvSpPr/>
      </xdr:nvSpPr>
      <xdr:spPr>
        <a:xfrm>
          <a:off x="18221325" y="9477375"/>
          <a:ext cx="1600200" cy="12096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17</xdr:col>
      <xdr:colOff>123825</xdr:colOff>
      <xdr:row>44</xdr:row>
      <xdr:rowOff>28575</xdr:rowOff>
    </xdr:from>
    <xdr:to>
      <xdr:col>22</xdr:col>
      <xdr:colOff>19050</xdr:colOff>
      <xdr:row>57</xdr:row>
      <xdr:rowOff>57150</xdr:rowOff>
    </xdr:to>
    <xdr:sp macro="[0]!Macro1" textlink="">
      <xdr:nvSpPr>
        <xdr:cNvPr id="3" name="Isosceles Triangle 2">
          <a:extLst>
            <a:ext uri="{FF2B5EF4-FFF2-40B4-BE49-F238E27FC236}">
              <a16:creationId xmlns:a16="http://schemas.microsoft.com/office/drawing/2014/main" id="{CF6302A9-E089-929A-8FF1-90E8A52B1E35}"/>
            </a:ext>
          </a:extLst>
        </xdr:cNvPr>
        <xdr:cNvSpPr/>
      </xdr:nvSpPr>
      <xdr:spPr>
        <a:xfrm>
          <a:off x="10487025" y="8410575"/>
          <a:ext cx="2943225" cy="2505075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14</xdr:col>
      <xdr:colOff>353786</xdr:colOff>
      <xdr:row>63</xdr:row>
      <xdr:rowOff>95250</xdr:rowOff>
    </xdr:from>
    <xdr:to>
      <xdr:col>18</xdr:col>
      <xdr:colOff>530678</xdr:colOff>
      <xdr:row>75</xdr:row>
      <xdr:rowOff>136072</xdr:rowOff>
    </xdr:to>
    <xdr:sp macro="[0]!Macro3" textlink="">
      <xdr:nvSpPr>
        <xdr:cNvPr id="4" name="Star: 5 Points 3">
          <a:extLst>
            <a:ext uri="{FF2B5EF4-FFF2-40B4-BE49-F238E27FC236}">
              <a16:creationId xmlns:a16="http://schemas.microsoft.com/office/drawing/2014/main" id="{EEC101F6-8336-F93F-8180-F82DB67FB411}"/>
            </a:ext>
          </a:extLst>
        </xdr:cNvPr>
        <xdr:cNvSpPr/>
      </xdr:nvSpPr>
      <xdr:spPr>
        <a:xfrm>
          <a:off x="8926286" y="12273643"/>
          <a:ext cx="2626178" cy="2449286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312964</xdr:colOff>
      <xdr:row>65</xdr:row>
      <xdr:rowOff>81643</xdr:rowOff>
    </xdr:from>
    <xdr:to>
      <xdr:col>13</xdr:col>
      <xdr:colOff>489857</xdr:colOff>
      <xdr:row>79</xdr:row>
      <xdr:rowOff>40821</xdr:rowOff>
    </xdr:to>
    <xdr:sp macro="[0]!Macro4" textlink="">
      <xdr:nvSpPr>
        <xdr:cNvPr id="5" name="Rectangle: Top Corners Snipped 4">
          <a:extLst>
            <a:ext uri="{FF2B5EF4-FFF2-40B4-BE49-F238E27FC236}">
              <a16:creationId xmlns:a16="http://schemas.microsoft.com/office/drawing/2014/main" id="{9834CF42-9A26-3BFD-183F-E9252730DD0A}"/>
            </a:ext>
          </a:extLst>
        </xdr:cNvPr>
        <xdr:cNvSpPr/>
      </xdr:nvSpPr>
      <xdr:spPr>
        <a:xfrm>
          <a:off x="7048500" y="12845143"/>
          <a:ext cx="1782536" cy="2871107"/>
        </a:xfrm>
        <a:prstGeom prst="snip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TS" refreshedDate="46181.50832627315" createdVersion="8" refreshedVersion="8" minRefreshableVersion="3" recordCount="1" xr:uid="{7F82C4C7-B990-423B-BE81-FC49E1DCA33D}">
  <cacheSource type="scenario"/>
  <cacheFields count="7">
    <cacheField name="$AC$43:$AC$47" numFmtId="0">
      <sharedItems containsNonDate="0" count="1">
        <s v="WORST"/>
      </sharedItems>
    </cacheField>
    <cacheField name="$AC$45:$AC$47" numFmtId="0">
      <sharedItems containsNonDate="0" count="1">
        <s v="NORMAL"/>
      </sharedItems>
    </cacheField>
    <cacheField name="$AC$43:$AC$44" numFmtId="0">
      <sharedItems containsNonDate="0" count="1">
        <s v="BEST"/>
      </sharedItems>
    </cacheField>
    <cacheField name="$AC$43:$AC$47 by" numFmtId="0">
      <sharedItems containsNonDate="0" count="1">
        <s v="MITS"/>
      </sharedItems>
    </cacheField>
    <cacheField name="$AC$45:$AC$47 by" numFmtId="0">
      <sharedItems containsNonDate="0" count="1">
        <s v="MITS"/>
      </sharedItems>
    </cacheField>
    <cacheField name="$AC$43:$AC$44 by" numFmtId="0">
      <sharedItems containsNonDate="0" count="1">
        <s v="MITS"/>
      </sharedItems>
    </cacheField>
    <cacheField name="res $AC$49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1ED00-5088-47FA-AFBD-3A97DED39678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fieldListSortAscending="1">
  <location ref="A5:B8" firstHeaderRow="1" firstDataRow="1" firstDataCol="1" rowPageCount="3" colPageCount="1"/>
  <pivotFields count="7">
    <pivotField axis="axisRow" showAll="0" defaultSubtotal="0">
      <items count="1">
        <item x="0"/>
      </items>
    </pivotField>
    <pivotField axis="axisRow" showAll="0" defaultSubtotal="0">
      <items count="1">
        <item x="0"/>
      </items>
    </pivotField>
    <pivotField axis="axisRow" showAll="0" defaultSubtotal="0">
      <items count="1">
        <item x="0"/>
      </items>
    </pivotField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dataField="1" showAll="0"/>
  </pivotFields>
  <rowFields count="3">
    <field x="0"/>
    <field x="1"/>
    <field x="2"/>
  </rowFields>
  <rowItems count="3">
    <i>
      <x/>
    </i>
    <i r="1">
      <x/>
    </i>
    <i r="2">
      <x/>
    </i>
  </rowItems>
  <colItems count="1">
    <i/>
  </colItems>
  <pageFields count="3">
    <pageField fld="3" hier="-1"/>
    <pageField fld="4" hier="-1"/>
    <pageField fld="5" hier="-1"/>
  </pageFields>
  <dataFields count="1">
    <dataField name="$AC$49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A3213-6A2E-4E25-90A3-62CF8F0650C9}">
  <dimension ref="A1:B8"/>
  <sheetViews>
    <sheetView workbookViewId="0">
      <selection activeCell="N17" sqref="N17"/>
    </sheetView>
  </sheetViews>
  <sheetFormatPr defaultRowHeight="15"/>
  <cols>
    <col min="1" max="1" width="17.28515625" bestFit="1" customWidth="1"/>
    <col min="2" max="2" width="7.42578125" bestFit="1" customWidth="1"/>
  </cols>
  <sheetData>
    <row r="1" spans="1:2">
      <c r="A1" s="20" t="s">
        <v>155</v>
      </c>
      <c r="B1" t="s">
        <v>156</v>
      </c>
    </row>
    <row r="2" spans="1:2">
      <c r="A2" s="20" t="s">
        <v>157</v>
      </c>
      <c r="B2" t="s">
        <v>156</v>
      </c>
    </row>
    <row r="3" spans="1:2">
      <c r="A3" s="20" t="s">
        <v>158</v>
      </c>
      <c r="B3" t="s">
        <v>156</v>
      </c>
    </row>
    <row r="5" spans="1:2">
      <c r="A5" s="20" t="s">
        <v>150</v>
      </c>
      <c r="B5" t="s">
        <v>151</v>
      </c>
    </row>
    <row r="6" spans="1:2">
      <c r="A6" s="21" t="s">
        <v>152</v>
      </c>
    </row>
    <row r="7" spans="1:2">
      <c r="A7" s="22" t="s">
        <v>153</v>
      </c>
    </row>
    <row r="8" spans="1:2">
      <c r="A8" s="23" t="s">
        <v>154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ED0D1-2CE3-43D7-9C61-3CAEB5D8A0E9}">
  <sheetPr>
    <outlinePr summaryBelow="0"/>
  </sheetPr>
  <dimension ref="B1:G15"/>
  <sheetViews>
    <sheetView showGridLines="0" workbookViewId="0"/>
  </sheetViews>
  <sheetFormatPr defaultRowHeight="15" outlineLevelRow="1" outlineLevelCol="1"/>
  <cols>
    <col min="3" max="3" width="7.42578125" bestFit="1" customWidth="1"/>
    <col min="4" max="7" width="13.140625" bestFit="1" customWidth="1" outlineLevel="1"/>
  </cols>
  <sheetData>
    <row r="1" spans="2:7" ht="15.75" thickBot="1"/>
    <row r="2" spans="2:7" ht="15.75">
      <c r="B2" s="27" t="s">
        <v>166</v>
      </c>
      <c r="C2" s="27"/>
      <c r="D2" s="32"/>
      <c r="E2" s="32"/>
      <c r="F2" s="32"/>
      <c r="G2" s="32"/>
    </row>
    <row r="3" spans="2:7" ht="15.75" collapsed="1">
      <c r="B3" s="26"/>
      <c r="C3" s="26"/>
      <c r="D3" s="33" t="s">
        <v>168</v>
      </c>
      <c r="E3" s="33" t="s">
        <v>152</v>
      </c>
      <c r="F3" s="33" t="s">
        <v>153</v>
      </c>
      <c r="G3" s="33" t="s">
        <v>154</v>
      </c>
    </row>
    <row r="4" spans="2:7" ht="45" hidden="1" outlineLevel="1">
      <c r="B4" s="29"/>
      <c r="C4" s="29"/>
      <c r="E4" s="36" t="s">
        <v>164</v>
      </c>
      <c r="F4" s="36" t="s">
        <v>164</v>
      </c>
      <c r="G4" s="36" t="s">
        <v>165</v>
      </c>
    </row>
    <row r="5" spans="2:7">
      <c r="B5" s="30" t="s">
        <v>167</v>
      </c>
      <c r="C5" s="30"/>
      <c r="D5" s="28"/>
      <c r="E5" s="28"/>
      <c r="F5" s="28"/>
      <c r="G5" s="28"/>
    </row>
    <row r="6" spans="2:7" outlineLevel="1">
      <c r="B6" s="29"/>
      <c r="C6" s="29" t="s">
        <v>159</v>
      </c>
      <c r="D6">
        <v>100</v>
      </c>
      <c r="E6" s="34">
        <v>20</v>
      </c>
      <c r="F6">
        <v>100</v>
      </c>
      <c r="G6" s="34">
        <v>100</v>
      </c>
    </row>
    <row r="7" spans="2:7" outlineLevel="1">
      <c r="B7" s="29"/>
      <c r="C7" s="29" t="s">
        <v>160</v>
      </c>
      <c r="D7">
        <v>50000</v>
      </c>
      <c r="E7" s="34">
        <v>20000</v>
      </c>
      <c r="F7">
        <v>50000</v>
      </c>
      <c r="G7" s="34">
        <v>50000</v>
      </c>
    </row>
    <row r="8" spans="2:7" outlineLevel="1">
      <c r="B8" s="29"/>
      <c r="C8" s="29" t="s">
        <v>161</v>
      </c>
      <c r="D8" s="24">
        <v>0.1</v>
      </c>
      <c r="E8" s="35">
        <v>0</v>
      </c>
      <c r="F8" s="35">
        <v>0.1</v>
      </c>
      <c r="G8" s="24">
        <v>0.1</v>
      </c>
    </row>
    <row r="9" spans="2:7" outlineLevel="1">
      <c r="B9" s="29"/>
      <c r="C9" s="29" t="s">
        <v>162</v>
      </c>
      <c r="D9">
        <v>1000000</v>
      </c>
      <c r="E9" s="34">
        <v>15000</v>
      </c>
      <c r="F9" s="34">
        <v>1000000</v>
      </c>
      <c r="G9">
        <v>1000000</v>
      </c>
    </row>
    <row r="10" spans="2:7" outlineLevel="1">
      <c r="B10" s="29"/>
      <c r="C10" s="29" t="s">
        <v>163</v>
      </c>
      <c r="D10">
        <v>10885400</v>
      </c>
      <c r="E10" s="34">
        <v>1188400</v>
      </c>
      <c r="F10" s="34">
        <v>10885400</v>
      </c>
      <c r="G10">
        <v>10885400</v>
      </c>
    </row>
    <row r="11" spans="2:7">
      <c r="B11" s="30" t="s">
        <v>169</v>
      </c>
      <c r="C11" s="30"/>
      <c r="D11" s="28"/>
      <c r="E11" s="28"/>
      <c r="F11" s="28"/>
      <c r="G11" s="28"/>
    </row>
    <row r="12" spans="2:7" ht="15.75" outlineLevel="1" thickBot="1">
      <c r="B12" s="31"/>
      <c r="C12" s="31" t="s">
        <v>151</v>
      </c>
      <c r="D12" s="25"/>
      <c r="E12" s="25"/>
      <c r="F12" s="25"/>
      <c r="G12" s="25"/>
    </row>
    <row r="13" spans="2:7">
      <c r="B13" t="s">
        <v>170</v>
      </c>
    </row>
    <row r="14" spans="2:7">
      <c r="B14" t="s">
        <v>171</v>
      </c>
    </row>
    <row r="15" spans="2:7">
      <c r="B15" t="s">
        <v>172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D5357-9600-45EC-974A-99836E3A95A0}">
  <sheetPr>
    <outlinePr summaryBelow="0"/>
  </sheetPr>
  <dimension ref="B1:F11"/>
  <sheetViews>
    <sheetView showGridLines="0" workbookViewId="0"/>
  </sheetViews>
  <sheetFormatPr defaultRowHeight="15" outlineLevelRow="1" outlineLevelCol="1"/>
  <cols>
    <col min="3" max="3" width="7.42578125" bestFit="1" customWidth="1"/>
    <col min="4" max="6" width="13.140625" bestFit="1" customWidth="1" outlineLevel="1"/>
  </cols>
  <sheetData>
    <row r="1" spans="2:6" ht="15.75" thickBot="1"/>
    <row r="2" spans="2:6" ht="15.75">
      <c r="B2" s="27" t="s">
        <v>166</v>
      </c>
      <c r="C2" s="27"/>
      <c r="D2" s="32"/>
      <c r="E2" s="32"/>
      <c r="F2" s="32"/>
    </row>
    <row r="3" spans="2:6" ht="15.75" collapsed="1">
      <c r="B3" s="26"/>
      <c r="C3" s="26"/>
      <c r="D3" s="33" t="s">
        <v>168</v>
      </c>
      <c r="E3" s="33" t="s">
        <v>147</v>
      </c>
      <c r="F3" s="33" t="s">
        <v>176</v>
      </c>
    </row>
    <row r="4" spans="2:6" ht="22.5" hidden="1" outlineLevel="1">
      <c r="B4" s="29"/>
      <c r="C4" s="29"/>
      <c r="E4" s="36" t="s">
        <v>165</v>
      </c>
      <c r="F4" s="36" t="s">
        <v>165</v>
      </c>
    </row>
    <row r="5" spans="2:6">
      <c r="B5" s="30" t="s">
        <v>167</v>
      </c>
      <c r="C5" s="30"/>
      <c r="D5" s="28"/>
      <c r="E5" s="28"/>
      <c r="F5" s="28"/>
    </row>
    <row r="6" spans="2:6" outlineLevel="1">
      <c r="B6" s="29"/>
      <c r="C6" s="29" t="s">
        <v>175</v>
      </c>
      <c r="D6">
        <v>120</v>
      </c>
      <c r="E6" s="34">
        <v>90</v>
      </c>
      <c r="F6" s="34">
        <v>120</v>
      </c>
    </row>
    <row r="7" spans="2:6">
      <c r="B7" s="30" t="s">
        <v>169</v>
      </c>
      <c r="C7" s="30"/>
      <c r="D7" s="28"/>
      <c r="E7" s="28"/>
      <c r="F7" s="28"/>
    </row>
    <row r="8" spans="2:6" ht="15.75" outlineLevel="1" thickBot="1">
      <c r="B8" s="31"/>
      <c r="C8" s="31" t="s">
        <v>151</v>
      </c>
      <c r="D8" s="25"/>
      <c r="E8" s="25"/>
      <c r="F8" s="25"/>
    </row>
    <row r="9" spans="2:6">
      <c r="B9" t="s">
        <v>170</v>
      </c>
    </row>
    <row r="10" spans="2:6">
      <c r="B10" t="s">
        <v>171</v>
      </c>
    </row>
    <row r="11" spans="2:6">
      <c r="B11" t="s">
        <v>172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C1F68-32D3-413D-BFD6-156488F9EB11}">
  <dimension ref="A1:AR69"/>
  <sheetViews>
    <sheetView topLeftCell="E46" zoomScaleNormal="100" workbookViewId="0">
      <selection activeCell="M53" sqref="M53:N57"/>
    </sheetView>
  </sheetViews>
  <sheetFormatPr defaultRowHeight="15"/>
  <cols>
    <col min="1" max="1" width="17" bestFit="1" customWidth="1"/>
    <col min="2" max="2" width="14.85546875" bestFit="1" customWidth="1"/>
    <col min="3" max="3" width="12.5703125" bestFit="1" customWidth="1"/>
    <col min="4" max="4" width="20.5703125" bestFit="1" customWidth="1"/>
    <col min="5" max="5" width="11.28515625" bestFit="1" customWidth="1"/>
    <col min="6" max="6" width="7" bestFit="1" customWidth="1"/>
    <col min="7" max="7" width="11.28515625" bestFit="1" customWidth="1"/>
    <col min="8" max="8" width="20.140625" bestFit="1" customWidth="1"/>
    <col min="9" max="9" width="20.7109375" bestFit="1" customWidth="1"/>
    <col min="10" max="10" width="22.28515625" bestFit="1" customWidth="1"/>
    <col min="11" max="11" width="16.85546875" bestFit="1" customWidth="1"/>
    <col min="12" max="12" width="21" bestFit="1" customWidth="1"/>
    <col min="13" max="13" width="21.7109375" bestFit="1" customWidth="1"/>
    <col min="14" max="14" width="8.42578125" bestFit="1" customWidth="1"/>
    <col min="16" max="16" width="7.5703125" bestFit="1" customWidth="1"/>
    <col min="17" max="17" width="12" bestFit="1" customWidth="1"/>
    <col min="23" max="23" width="4" bestFit="1" customWidth="1"/>
    <col min="24" max="24" width="6.5703125" bestFit="1" customWidth="1"/>
    <col min="25" max="25" width="3" bestFit="1" customWidth="1"/>
    <col min="26" max="26" width="6.140625" bestFit="1" customWidth="1"/>
    <col min="27" max="27" width="10.42578125" bestFit="1" customWidth="1"/>
    <col min="28" max="28" width="11.140625" bestFit="1" customWidth="1"/>
    <col min="29" max="29" width="6" bestFit="1" customWidth="1"/>
    <col min="30" max="30" width="17.42578125" bestFit="1" customWidth="1"/>
    <col min="31" max="31" width="11.140625" bestFit="1" customWidth="1"/>
    <col min="32" max="32" width="12.140625" bestFit="1" customWidth="1"/>
  </cols>
  <sheetData>
    <row r="1" spans="1:30" ht="18.7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1" t="s">
        <v>7</v>
      </c>
      <c r="I1" s="1" t="s">
        <v>8</v>
      </c>
      <c r="J1" s="1" t="s">
        <v>9</v>
      </c>
      <c r="K1" s="2" t="s">
        <v>10</v>
      </c>
      <c r="L1" s="1" t="s">
        <v>11</v>
      </c>
      <c r="M1" s="1" t="s">
        <v>12</v>
      </c>
      <c r="N1" s="2" t="s">
        <v>13</v>
      </c>
      <c r="O1" s="3" t="s">
        <v>14</v>
      </c>
      <c r="P1" s="4" t="s">
        <v>15</v>
      </c>
      <c r="Q1" s="4" t="s">
        <v>16</v>
      </c>
    </row>
    <row r="2" spans="1:30">
      <c r="A2" s="5">
        <v>1</v>
      </c>
      <c r="B2" s="6">
        <v>8270</v>
      </c>
      <c r="C2" s="6">
        <v>295</v>
      </c>
      <c r="D2" s="6" t="s">
        <v>17</v>
      </c>
      <c r="E2" s="6">
        <v>1</v>
      </c>
      <c r="F2" s="6">
        <v>801.66</v>
      </c>
      <c r="G2" s="6">
        <v>0.13</v>
      </c>
      <c r="H2" s="7">
        <v>45282.440972222219</v>
      </c>
      <c r="I2" s="5" t="s">
        <v>18</v>
      </c>
      <c r="J2" s="5" t="s">
        <v>19</v>
      </c>
      <c r="K2" s="6">
        <v>46</v>
      </c>
      <c r="L2" s="5" t="s">
        <v>20</v>
      </c>
      <c r="M2" s="5" t="s">
        <v>21</v>
      </c>
      <c r="N2" s="6">
        <v>83.36</v>
      </c>
      <c r="O2" s="8" t="s">
        <v>22</v>
      </c>
      <c r="P2" s="9">
        <v>5200</v>
      </c>
      <c r="R2">
        <v>3.4500000000000003E-2</v>
      </c>
    </row>
    <row r="3" spans="1:30">
      <c r="A3" s="5">
        <v>2</v>
      </c>
      <c r="B3" s="6">
        <v>1860</v>
      </c>
      <c r="C3" s="6">
        <v>546</v>
      </c>
      <c r="D3" s="6" t="s">
        <v>23</v>
      </c>
      <c r="E3" s="6">
        <v>1</v>
      </c>
      <c r="F3" s="6">
        <v>225.03</v>
      </c>
      <c r="G3" s="6">
        <v>0.06</v>
      </c>
      <c r="H3" s="7">
        <v>45417.444444444445</v>
      </c>
      <c r="I3" s="5" t="s">
        <v>24</v>
      </c>
      <c r="J3" s="5" t="s">
        <v>25</v>
      </c>
      <c r="K3" s="6">
        <v>59</v>
      </c>
      <c r="L3" s="5" t="s">
        <v>26</v>
      </c>
      <c r="M3" s="5" t="s">
        <v>27</v>
      </c>
      <c r="N3" s="6">
        <v>58.88</v>
      </c>
      <c r="O3" s="8" t="s">
        <v>28</v>
      </c>
      <c r="P3" s="9">
        <v>3400</v>
      </c>
      <c r="Q3" s="10">
        <f>P3</f>
        <v>3400</v>
      </c>
      <c r="R3">
        <v>6.5600000000000006E-2</v>
      </c>
    </row>
    <row r="4" spans="1:30">
      <c r="A4" s="5">
        <v>3</v>
      </c>
      <c r="B4" s="6">
        <v>6390</v>
      </c>
      <c r="C4" s="6">
        <v>430</v>
      </c>
      <c r="D4" s="6" t="s">
        <v>29</v>
      </c>
      <c r="E4" s="6">
        <v>2</v>
      </c>
      <c r="F4" s="6">
        <v>544.99</v>
      </c>
      <c r="G4" s="6">
        <v>0.24</v>
      </c>
      <c r="H4" s="7">
        <v>45264.223611111112</v>
      </c>
      <c r="I4" s="5" t="s">
        <v>24</v>
      </c>
      <c r="J4" s="5" t="s">
        <v>30</v>
      </c>
      <c r="K4" s="6">
        <v>61</v>
      </c>
      <c r="L4" s="5" t="s">
        <v>20</v>
      </c>
      <c r="M4" s="5" t="s">
        <v>27</v>
      </c>
      <c r="N4" s="6">
        <v>53.99</v>
      </c>
      <c r="O4" s="8" t="s">
        <v>31</v>
      </c>
      <c r="P4" s="9">
        <v>6100</v>
      </c>
      <c r="Q4">
        <f t="shared" ref="Q4:Q41" si="0">0.7*P4+0.3*Q3</f>
        <v>5290</v>
      </c>
      <c r="R4">
        <v>4.5999999999999999E-2</v>
      </c>
    </row>
    <row r="5" spans="1:30">
      <c r="A5" s="5">
        <v>4</v>
      </c>
      <c r="B5" s="6">
        <v>6191</v>
      </c>
      <c r="C5" s="6">
        <v>807</v>
      </c>
      <c r="D5" s="6" t="s">
        <v>23</v>
      </c>
      <c r="E5" s="6">
        <v>2</v>
      </c>
      <c r="F5" s="6">
        <v>157.02000000000001</v>
      </c>
      <c r="G5" s="6">
        <v>0.01</v>
      </c>
      <c r="H5" s="7">
        <v>45293.46597222222</v>
      </c>
      <c r="I5" s="5" t="s">
        <v>32</v>
      </c>
      <c r="J5" s="5" t="s">
        <v>33</v>
      </c>
      <c r="K5" s="6">
        <v>69</v>
      </c>
      <c r="L5" s="5" t="s">
        <v>20</v>
      </c>
      <c r="M5" s="5" t="s">
        <v>34</v>
      </c>
      <c r="N5" s="6">
        <v>11.73</v>
      </c>
      <c r="O5" s="8" t="s">
        <v>35</v>
      </c>
      <c r="P5" s="9">
        <v>2800</v>
      </c>
      <c r="Q5">
        <f t="shared" si="0"/>
        <v>3547</v>
      </c>
      <c r="R5">
        <v>1.0166999999999999</v>
      </c>
    </row>
    <row r="6" spans="1:30">
      <c r="A6" s="5">
        <v>5</v>
      </c>
      <c r="B6" s="6">
        <v>6734</v>
      </c>
      <c r="C6" s="6">
        <v>319</v>
      </c>
      <c r="D6" s="6" t="s">
        <v>36</v>
      </c>
      <c r="E6" s="6">
        <v>2</v>
      </c>
      <c r="F6" s="6">
        <v>155.51</v>
      </c>
      <c r="G6" s="6">
        <v>0.14000000000000001</v>
      </c>
      <c r="H6" s="7">
        <v>45461.042361111111</v>
      </c>
      <c r="I6" s="5" t="s">
        <v>24</v>
      </c>
      <c r="J6" s="5" t="s">
        <v>37</v>
      </c>
      <c r="K6" s="6">
        <v>29</v>
      </c>
      <c r="L6" s="5" t="s">
        <v>26</v>
      </c>
      <c r="M6" s="5" t="s">
        <v>27</v>
      </c>
      <c r="N6" s="6">
        <v>34.79</v>
      </c>
      <c r="O6" s="8" t="s">
        <v>22</v>
      </c>
      <c r="P6" s="9">
        <v>7500</v>
      </c>
      <c r="Q6">
        <f t="shared" si="0"/>
        <v>6314.1</v>
      </c>
      <c r="R6">
        <v>4.0429000000000004</v>
      </c>
    </row>
    <row r="7" spans="1:30">
      <c r="A7" s="5">
        <v>6</v>
      </c>
      <c r="B7" s="6">
        <v>7265</v>
      </c>
      <c r="C7" s="6">
        <v>282</v>
      </c>
      <c r="D7" s="6" t="s">
        <v>38</v>
      </c>
      <c r="E7" s="6">
        <v>3</v>
      </c>
      <c r="F7" s="6">
        <v>225.65</v>
      </c>
      <c r="G7" s="6">
        <v>0.18</v>
      </c>
      <c r="H7" s="7">
        <v>45357.260416666664</v>
      </c>
      <c r="I7" s="5" t="s">
        <v>32</v>
      </c>
      <c r="J7" s="5" t="s">
        <v>39</v>
      </c>
      <c r="K7" s="6">
        <v>60</v>
      </c>
      <c r="L7" s="5" t="s">
        <v>40</v>
      </c>
      <c r="M7" s="5" t="s">
        <v>27</v>
      </c>
      <c r="N7" s="6">
        <v>25.78</v>
      </c>
      <c r="O7" s="8" t="s">
        <v>28</v>
      </c>
      <c r="P7" s="9">
        <v>4100</v>
      </c>
      <c r="Q7">
        <f t="shared" si="0"/>
        <v>4764.2299999999996</v>
      </c>
      <c r="R7">
        <v>5.0861999999999998</v>
      </c>
    </row>
    <row r="8" spans="1:30">
      <c r="A8" s="5">
        <v>7</v>
      </c>
      <c r="B8" s="6">
        <v>1466</v>
      </c>
      <c r="C8" s="6">
        <v>276</v>
      </c>
      <c r="D8" s="6" t="s">
        <v>23</v>
      </c>
      <c r="E8" s="6">
        <v>3</v>
      </c>
      <c r="F8" s="6">
        <v>631.96</v>
      </c>
      <c r="G8" s="6">
        <v>0.09</v>
      </c>
      <c r="H8" s="7">
        <v>45214.5625</v>
      </c>
      <c r="I8" s="5" t="s">
        <v>41</v>
      </c>
      <c r="J8" s="5" t="s">
        <v>42</v>
      </c>
      <c r="K8" s="6" t="e" cm="1">
        <f t="array" ref="K8">JVNB</f>
        <v>#NAME?</v>
      </c>
      <c r="L8" s="5" t="s">
        <v>40</v>
      </c>
      <c r="M8" s="5" t="s">
        <v>34</v>
      </c>
      <c r="N8" s="6">
        <v>68.36</v>
      </c>
      <c r="O8" s="8" t="s">
        <v>31</v>
      </c>
      <c r="P8" s="9">
        <v>3200</v>
      </c>
      <c r="Q8">
        <f t="shared" si="0"/>
        <v>3669.2689999999998</v>
      </c>
      <c r="R8">
        <v>6.0965999999999996</v>
      </c>
    </row>
    <row r="9" spans="1:30">
      <c r="A9" s="5">
        <v>8</v>
      </c>
      <c r="B9" s="6">
        <v>5426</v>
      </c>
      <c r="C9" s="6">
        <v>574</v>
      </c>
      <c r="D9" s="6" t="s">
        <v>43</v>
      </c>
      <c r="E9" s="6">
        <v>1</v>
      </c>
      <c r="F9" s="6">
        <v>522.87</v>
      </c>
      <c r="G9" s="6">
        <v>0.28999999999999998</v>
      </c>
      <c r="H9" s="7">
        <v>45428.073611111111</v>
      </c>
      <c r="I9" s="5" t="s">
        <v>18</v>
      </c>
      <c r="J9" s="5" t="s">
        <v>44</v>
      </c>
      <c r="K9" s="6">
        <v>45</v>
      </c>
      <c r="L9" s="5" t="s">
        <v>20</v>
      </c>
      <c r="M9" s="5" t="s">
        <v>27</v>
      </c>
      <c r="N9" s="6">
        <v>19.23</v>
      </c>
      <c r="O9" s="8" t="s">
        <v>35</v>
      </c>
      <c r="P9" s="9">
        <v>5600</v>
      </c>
      <c r="Q9">
        <f t="shared" si="0"/>
        <v>5020.7806999999993</v>
      </c>
      <c r="R9">
        <v>6.0944000000000003</v>
      </c>
      <c r="AB9" t="s">
        <v>83</v>
      </c>
      <c r="AC9">
        <v>21</v>
      </c>
      <c r="AD9">
        <v>20000</v>
      </c>
    </row>
    <row r="10" spans="1:30">
      <c r="A10" s="5">
        <v>9</v>
      </c>
      <c r="B10" s="6">
        <v>6578</v>
      </c>
      <c r="C10" s="6">
        <v>948</v>
      </c>
      <c r="D10" s="6" t="s">
        <v>38</v>
      </c>
      <c r="E10" s="6">
        <v>4</v>
      </c>
      <c r="F10" s="6">
        <v>202.66</v>
      </c>
      <c r="G10" s="6">
        <v>0.12</v>
      </c>
      <c r="H10" s="7">
        <v>45508.717361111114</v>
      </c>
      <c r="I10" s="5" t="s">
        <v>18</v>
      </c>
      <c r="J10" s="5" t="s">
        <v>45</v>
      </c>
      <c r="K10" s="6">
        <v>37</v>
      </c>
      <c r="L10" s="5" t="s">
        <v>40</v>
      </c>
      <c r="M10" s="5" t="s">
        <v>34</v>
      </c>
      <c r="N10" s="6">
        <v>28.61</v>
      </c>
      <c r="O10" s="8" t="s">
        <v>22</v>
      </c>
      <c r="P10" s="9">
        <v>4900</v>
      </c>
      <c r="Q10">
        <f t="shared" si="0"/>
        <v>4936.2342099999996</v>
      </c>
      <c r="R10">
        <v>8.0237999999999996</v>
      </c>
      <c r="X10" s="44" t="s">
        <v>80</v>
      </c>
    </row>
    <row r="11" spans="1:30">
      <c r="A11" s="5">
        <v>10</v>
      </c>
      <c r="B11" s="6">
        <v>9322</v>
      </c>
      <c r="C11" s="6">
        <v>459</v>
      </c>
      <c r="D11" s="6" t="s">
        <v>29</v>
      </c>
      <c r="E11" s="6">
        <v>3</v>
      </c>
      <c r="F11" s="6">
        <v>401.52</v>
      </c>
      <c r="G11" s="6">
        <v>0.23</v>
      </c>
      <c r="H11" s="7">
        <v>45278.776388888888</v>
      </c>
      <c r="I11" s="5" t="s">
        <v>18</v>
      </c>
      <c r="J11" s="5" t="s">
        <v>46</v>
      </c>
      <c r="K11" s="6">
        <v>67</v>
      </c>
      <c r="L11" s="5" t="s">
        <v>20</v>
      </c>
      <c r="M11" s="5" t="s">
        <v>34</v>
      </c>
      <c r="N11" s="6">
        <v>35.18</v>
      </c>
      <c r="O11" s="8" t="s">
        <v>28</v>
      </c>
      <c r="P11" s="9">
        <v>2200</v>
      </c>
      <c r="Q11">
        <f t="shared" si="0"/>
        <v>3020.8702629999998</v>
      </c>
      <c r="R11">
        <v>2.0369000000000002</v>
      </c>
      <c r="X11" s="44"/>
    </row>
    <row r="12" spans="1:30">
      <c r="A12" s="5">
        <v>11</v>
      </c>
      <c r="B12" s="6">
        <v>2685</v>
      </c>
      <c r="C12" s="6">
        <v>745</v>
      </c>
      <c r="D12" s="6" t="s">
        <v>17</v>
      </c>
      <c r="E12" s="6">
        <v>3</v>
      </c>
      <c r="F12" s="6">
        <v>346.31</v>
      </c>
      <c r="G12" s="6">
        <v>0.06</v>
      </c>
      <c r="H12" s="7">
        <v>45438.12222222222</v>
      </c>
      <c r="I12" s="5" t="s">
        <v>18</v>
      </c>
      <c r="J12" s="5" t="s">
        <v>47</v>
      </c>
      <c r="K12" s="6">
        <v>36</v>
      </c>
      <c r="L12" s="5" t="s">
        <v>26</v>
      </c>
      <c r="M12" s="5" t="s">
        <v>34</v>
      </c>
      <c r="N12" s="6">
        <v>76.819999999999993</v>
      </c>
      <c r="O12" s="8" t="s">
        <v>31</v>
      </c>
      <c r="P12" s="9">
        <v>6800</v>
      </c>
      <c r="Q12">
        <f t="shared" si="0"/>
        <v>5666.2610789</v>
      </c>
      <c r="R12">
        <v>5.0635000000000003</v>
      </c>
      <c r="V12" t="e">
        <f>N12/0</f>
        <v>#DIV/0!</v>
      </c>
      <c r="X12" s="44"/>
      <c r="Y12" t="s">
        <v>82</v>
      </c>
    </row>
    <row r="13" spans="1:30" ht="409.5">
      <c r="A13" s="5">
        <v>12</v>
      </c>
      <c r="B13" s="6">
        <v>1769</v>
      </c>
      <c r="C13" s="6">
        <v>564</v>
      </c>
      <c r="D13" s="6" t="s">
        <v>43</v>
      </c>
      <c r="E13" s="6">
        <v>1</v>
      </c>
      <c r="F13" s="6">
        <v>434.15</v>
      </c>
      <c r="G13" s="6">
        <v>0.05</v>
      </c>
      <c r="H13" s="7">
        <v>45195.220833333333</v>
      </c>
      <c r="I13" s="5" t="s">
        <v>32</v>
      </c>
      <c r="J13" s="5" t="s">
        <v>48</v>
      </c>
      <c r="K13" s="6"/>
      <c r="L13" s="5" t="s">
        <v>26</v>
      </c>
      <c r="M13" s="5" t="s">
        <v>27</v>
      </c>
      <c r="N13" s="6">
        <v>26.24</v>
      </c>
      <c r="O13" s="8" t="s">
        <v>35</v>
      </c>
      <c r="P13" s="9">
        <v>3700</v>
      </c>
      <c r="Q13">
        <f t="shared" si="0"/>
        <v>4289.8783236700001</v>
      </c>
      <c r="R13">
        <v>9.0564</v>
      </c>
      <c r="V13" t="e" cm="1">
        <f t="array" ref="V13">SUUM</f>
        <v>#NAME?</v>
      </c>
      <c r="X13" s="44"/>
      <c r="Y13" s="11" t="s">
        <v>81</v>
      </c>
    </row>
    <row r="14" spans="1:30">
      <c r="A14" s="5">
        <v>13</v>
      </c>
      <c r="B14" s="6">
        <v>7949</v>
      </c>
      <c r="C14" s="6">
        <v>334</v>
      </c>
      <c r="D14" s="6" t="s">
        <v>36</v>
      </c>
      <c r="E14" s="6">
        <v>3</v>
      </c>
      <c r="F14" s="6">
        <v>189.87</v>
      </c>
      <c r="G14" s="6">
        <v>0.25</v>
      </c>
      <c r="H14" s="7">
        <v>45273.995138888888</v>
      </c>
      <c r="I14" s="5" t="s">
        <v>41</v>
      </c>
      <c r="J14" s="5" t="s">
        <v>49</v>
      </c>
      <c r="K14" s="6">
        <v>65</v>
      </c>
      <c r="L14" s="5" t="s">
        <v>26</v>
      </c>
      <c r="M14" s="5" t="s">
        <v>34</v>
      </c>
      <c r="N14" s="6">
        <v>39.909999999999997</v>
      </c>
      <c r="O14" s="8" t="s">
        <v>22</v>
      </c>
      <c r="P14" s="9">
        <v>8100</v>
      </c>
      <c r="Q14">
        <f t="shared" si="0"/>
        <v>6956.963497101</v>
      </c>
      <c r="R14">
        <v>9.0564</v>
      </c>
      <c r="V14" t="e" cm="1">
        <f t="array" aca="1" ref="V14" ca="1">SUUM(N14:N15)</f>
        <v>#NAME?</v>
      </c>
      <c r="X14" s="44"/>
    </row>
    <row r="15" spans="1:30">
      <c r="A15" s="5">
        <v>14</v>
      </c>
      <c r="B15" s="6">
        <v>3433</v>
      </c>
      <c r="C15" s="6">
        <v>536</v>
      </c>
      <c r="D15" s="6" t="s">
        <v>50</v>
      </c>
      <c r="E15" s="6">
        <v>1</v>
      </c>
      <c r="F15" s="6">
        <v>559.1</v>
      </c>
      <c r="G15" s="6">
        <v>0.15</v>
      </c>
      <c r="H15" s="7">
        <v>45262.322222222225</v>
      </c>
      <c r="I15" s="5" t="s">
        <v>24</v>
      </c>
      <c r="J15" s="5" t="s">
        <v>51</v>
      </c>
      <c r="K15" s="6" t="e" cm="1">
        <f t="array" ref="K15">JK</f>
        <v>#NAME?</v>
      </c>
      <c r="L15" s="5" t="s">
        <v>40</v>
      </c>
      <c r="M15" s="5" t="s">
        <v>34</v>
      </c>
      <c r="N15" s="6">
        <v>69.39</v>
      </c>
      <c r="O15" s="8" t="s">
        <v>28</v>
      </c>
      <c r="P15" s="9">
        <v>4600</v>
      </c>
      <c r="Q15">
        <f t="shared" si="0"/>
        <v>5307.0890491302998</v>
      </c>
      <c r="R15">
        <v>3.0535999999999999</v>
      </c>
      <c r="X15" s="44"/>
    </row>
    <row r="16" spans="1:30">
      <c r="A16" s="5">
        <v>15</v>
      </c>
      <c r="B16" s="6">
        <v>6311</v>
      </c>
      <c r="C16" s="6">
        <v>239</v>
      </c>
      <c r="D16" s="6" t="s">
        <v>29</v>
      </c>
      <c r="E16" s="6">
        <v>3</v>
      </c>
      <c r="F16" s="6">
        <v>29.01</v>
      </c>
      <c r="G16" s="6">
        <v>0.26</v>
      </c>
      <c r="H16" s="7">
        <v>45352.742361111108</v>
      </c>
      <c r="I16" s="5" t="s">
        <v>18</v>
      </c>
      <c r="J16" s="5" t="s">
        <v>52</v>
      </c>
      <c r="K16" s="6">
        <v>20</v>
      </c>
      <c r="L16" s="5" t="s">
        <v>26</v>
      </c>
      <c r="M16" s="5" t="s">
        <v>27</v>
      </c>
      <c r="N16" s="6">
        <v>10.33</v>
      </c>
      <c r="O16" s="8" t="s">
        <v>31</v>
      </c>
      <c r="P16" s="9">
        <v>2900</v>
      </c>
      <c r="Q16">
        <f t="shared" si="0"/>
        <v>3622.1267147390899</v>
      </c>
      <c r="R16">
        <v>1.0629</v>
      </c>
      <c r="X16" s="44"/>
    </row>
    <row r="17" spans="1:38">
      <c r="A17" s="5">
        <v>16</v>
      </c>
      <c r="B17" s="6">
        <v>6051</v>
      </c>
      <c r="C17" s="6">
        <v>587</v>
      </c>
      <c r="D17" s="6" t="s">
        <v>29</v>
      </c>
      <c r="E17" s="6">
        <v>2</v>
      </c>
      <c r="F17" s="6">
        <v>541.5</v>
      </c>
      <c r="G17" s="6">
        <v>0.22</v>
      </c>
      <c r="H17" s="7">
        <v>45516.509027777778</v>
      </c>
      <c r="I17" s="5" t="s">
        <v>32</v>
      </c>
      <c r="J17" s="5" t="s">
        <v>53</v>
      </c>
      <c r="K17" s="6">
        <v>46</v>
      </c>
      <c r="L17" s="5" t="s">
        <v>26</v>
      </c>
      <c r="M17" s="5" t="s">
        <v>34</v>
      </c>
      <c r="N17" s="6">
        <v>41.77</v>
      </c>
      <c r="O17" s="8" t="s">
        <v>35</v>
      </c>
      <c r="P17" s="9">
        <v>6200</v>
      </c>
      <c r="Q17">
        <f t="shared" si="0"/>
        <v>5426.6380144217273</v>
      </c>
      <c r="R17">
        <v>1.0246999999999999</v>
      </c>
      <c r="X17" s="44"/>
    </row>
    <row r="18" spans="1:38">
      <c r="A18" s="5">
        <v>17</v>
      </c>
      <c r="B18" s="6">
        <v>7420</v>
      </c>
      <c r="C18" s="6">
        <v>868</v>
      </c>
      <c r="D18" s="6" t="s">
        <v>23</v>
      </c>
      <c r="E18" s="6">
        <v>4</v>
      </c>
      <c r="F18" s="6">
        <v>218.68</v>
      </c>
      <c r="G18" s="6">
        <v>0.19</v>
      </c>
      <c r="H18" s="7">
        <v>45497.367361111108</v>
      </c>
      <c r="I18" s="5" t="s">
        <v>41</v>
      </c>
      <c r="J18" s="5" t="s">
        <v>54</v>
      </c>
      <c r="K18" s="6">
        <v>21</v>
      </c>
      <c r="L18" s="5" t="s">
        <v>26</v>
      </c>
      <c r="M18" s="5" t="s">
        <v>21</v>
      </c>
      <c r="N18" s="6">
        <v>9.93</v>
      </c>
      <c r="O18" s="8" t="s">
        <v>22</v>
      </c>
      <c r="P18" s="9">
        <v>5300</v>
      </c>
      <c r="Q18">
        <f t="shared" si="0"/>
        <v>5337.991404326518</v>
      </c>
      <c r="R18">
        <v>9.2799999999999994E-2</v>
      </c>
      <c r="AB18" s="14" t="s">
        <v>98</v>
      </c>
    </row>
    <row r="19" spans="1:38">
      <c r="A19" s="5">
        <v>18</v>
      </c>
      <c r="B19" s="6">
        <v>2184</v>
      </c>
      <c r="C19" s="6">
        <v>384</v>
      </c>
      <c r="D19" s="6" t="s">
        <v>17</v>
      </c>
      <c r="E19" s="6">
        <v>2</v>
      </c>
      <c r="F19" s="6">
        <v>439.07</v>
      </c>
      <c r="G19" s="6">
        <v>0.26</v>
      </c>
      <c r="H19" s="7">
        <v>45457.752083333333</v>
      </c>
      <c r="I19" s="5" t="s">
        <v>55</v>
      </c>
      <c r="J19" s="5" t="s">
        <v>56</v>
      </c>
      <c r="K19" s="6">
        <v>23</v>
      </c>
      <c r="L19" s="5" t="s">
        <v>26</v>
      </c>
      <c r="M19" s="5" t="s">
        <v>21</v>
      </c>
      <c r="N19" s="6">
        <v>97.73</v>
      </c>
      <c r="O19" s="8" t="s">
        <v>28</v>
      </c>
      <c r="P19" s="9">
        <v>3100</v>
      </c>
      <c r="Q19">
        <f t="shared" si="0"/>
        <v>3771.3974212979556</v>
      </c>
      <c r="R19">
        <v>4.0624000000000002</v>
      </c>
      <c r="AB19" s="15">
        <v>101</v>
      </c>
      <c r="AC19" t="s">
        <v>84</v>
      </c>
      <c r="AD19">
        <v>21</v>
      </c>
      <c r="AE19" t="s">
        <v>85</v>
      </c>
    </row>
    <row r="20" spans="1:38">
      <c r="A20" s="5">
        <v>19</v>
      </c>
      <c r="B20" s="6">
        <v>5555</v>
      </c>
      <c r="C20" s="6">
        <v>701</v>
      </c>
      <c r="D20" s="6" t="s">
        <v>38</v>
      </c>
      <c r="E20" s="6">
        <v>4</v>
      </c>
      <c r="F20" s="6">
        <v>849.82</v>
      </c>
      <c r="G20" s="6">
        <v>0.12</v>
      </c>
      <c r="H20" s="7">
        <v>45353.220833333333</v>
      </c>
      <c r="I20" s="5" t="s">
        <v>18</v>
      </c>
      <c r="J20" s="5" t="s">
        <v>57</v>
      </c>
      <c r="K20" s="6" t="e" cm="1">
        <f t="array" ref="K20">JHH</f>
        <v>#NAME?</v>
      </c>
      <c r="L20" s="5" t="s">
        <v>20</v>
      </c>
      <c r="M20" s="5" t="s">
        <v>34</v>
      </c>
      <c r="N20" s="6">
        <v>54.32</v>
      </c>
      <c r="O20" s="8" t="s">
        <v>31</v>
      </c>
      <c r="P20" s="9">
        <v>7200</v>
      </c>
      <c r="Q20">
        <f t="shared" si="0"/>
        <v>6171.4192263893865</v>
      </c>
      <c r="R20">
        <v>5.0251000000000001</v>
      </c>
      <c r="AB20" s="15">
        <v>102</v>
      </c>
      <c r="AC20" t="s">
        <v>87</v>
      </c>
      <c r="AD20">
        <v>22</v>
      </c>
      <c r="AE20" t="s">
        <v>88</v>
      </c>
      <c r="AG20" s="45" t="s">
        <v>210</v>
      </c>
      <c r="AH20" s="45"/>
      <c r="AI20" s="45"/>
      <c r="AJ20" s="45"/>
      <c r="AK20" s="45"/>
      <c r="AL20" s="45"/>
    </row>
    <row r="21" spans="1:38">
      <c r="A21" s="5">
        <v>20</v>
      </c>
      <c r="B21" s="6">
        <v>4385</v>
      </c>
      <c r="C21" s="6">
        <v>427</v>
      </c>
      <c r="D21" s="6" t="s">
        <v>36</v>
      </c>
      <c r="E21" s="6">
        <v>1</v>
      </c>
      <c r="F21" s="6">
        <v>886.69</v>
      </c>
      <c r="G21" s="6">
        <v>0.28000000000000003</v>
      </c>
      <c r="H21" s="7">
        <v>45431.556944444441</v>
      </c>
      <c r="I21" s="5" t="s">
        <v>24</v>
      </c>
      <c r="J21" s="5" t="s">
        <v>58</v>
      </c>
      <c r="K21" s="6">
        <v>46</v>
      </c>
      <c r="L21" s="5" t="s">
        <v>26</v>
      </c>
      <c r="M21" s="5" t="s">
        <v>34</v>
      </c>
      <c r="N21" s="6">
        <v>57.35</v>
      </c>
      <c r="O21" s="8" t="s">
        <v>35</v>
      </c>
      <c r="P21" s="9">
        <v>4300</v>
      </c>
      <c r="Q21">
        <f t="shared" si="0"/>
        <v>4861.4257679168159</v>
      </c>
      <c r="R21">
        <v>5.0846999999999998</v>
      </c>
      <c r="AB21" s="15">
        <v>103</v>
      </c>
      <c r="AC21" t="s">
        <v>90</v>
      </c>
      <c r="AD21">
        <v>20</v>
      </c>
      <c r="AE21" t="s">
        <v>91</v>
      </c>
    </row>
    <row r="22" spans="1:38">
      <c r="A22" s="5">
        <v>21</v>
      </c>
      <c r="B22" s="6">
        <v>7396</v>
      </c>
      <c r="C22" s="6">
        <v>150</v>
      </c>
      <c r="D22" s="6" t="s">
        <v>29</v>
      </c>
      <c r="E22" s="6">
        <v>2</v>
      </c>
      <c r="F22" s="6">
        <v>137.79</v>
      </c>
      <c r="G22" s="6">
        <v>0.04</v>
      </c>
      <c r="H22" s="7">
        <v>45425.419444444444</v>
      </c>
      <c r="I22" s="5" t="s">
        <v>41</v>
      </c>
      <c r="J22" s="5" t="s">
        <v>59</v>
      </c>
      <c r="K22" s="6">
        <v>60</v>
      </c>
      <c r="L22" s="5" t="s">
        <v>40</v>
      </c>
      <c r="M22" s="5" t="s">
        <v>21</v>
      </c>
      <c r="N22" s="6">
        <v>41.08</v>
      </c>
      <c r="O22" s="8" t="s">
        <v>22</v>
      </c>
      <c r="P22" s="9">
        <v>6700</v>
      </c>
      <c r="Q22">
        <f t="shared" si="0"/>
        <v>6148.427730375045</v>
      </c>
      <c r="R22">
        <v>6.0460000000000003</v>
      </c>
    </row>
    <row r="23" spans="1:38" ht="30">
      <c r="A23" s="5">
        <v>22</v>
      </c>
      <c r="B23" s="6">
        <v>9666</v>
      </c>
      <c r="C23" s="6">
        <v>797</v>
      </c>
      <c r="D23" s="6" t="s">
        <v>36</v>
      </c>
      <c r="E23" s="6">
        <v>4</v>
      </c>
      <c r="F23" s="6">
        <v>6.58</v>
      </c>
      <c r="G23" s="6">
        <v>0.04</v>
      </c>
      <c r="H23" s="7">
        <v>45387.868055555555</v>
      </c>
      <c r="I23" s="5" t="s">
        <v>55</v>
      </c>
      <c r="J23" s="5" t="s">
        <v>60</v>
      </c>
      <c r="K23" s="6">
        <v>54</v>
      </c>
      <c r="L23" s="5" t="s">
        <v>20</v>
      </c>
      <c r="M23" s="5" t="s">
        <v>21</v>
      </c>
      <c r="N23" s="6">
        <v>88.02</v>
      </c>
      <c r="O23" s="8" t="s">
        <v>28</v>
      </c>
      <c r="P23" s="9">
        <v>2500</v>
      </c>
      <c r="Q23">
        <f t="shared" si="0"/>
        <v>3594.5283191125136</v>
      </c>
      <c r="R23">
        <v>6.0457000000000001</v>
      </c>
      <c r="AG23" s="11" t="s">
        <v>211</v>
      </c>
    </row>
    <row r="24" spans="1:38">
      <c r="A24" s="5">
        <v>23</v>
      </c>
      <c r="B24" s="6">
        <v>3558</v>
      </c>
      <c r="C24" s="6">
        <v>577</v>
      </c>
      <c r="D24" s="6" t="s">
        <v>29</v>
      </c>
      <c r="E24" s="6">
        <v>3</v>
      </c>
      <c r="F24" s="6">
        <v>888.2</v>
      </c>
      <c r="G24" s="6">
        <v>0.04</v>
      </c>
      <c r="H24" s="7">
        <v>45247.229166666664</v>
      </c>
      <c r="I24" s="5" t="s">
        <v>18</v>
      </c>
      <c r="J24" s="5" t="s">
        <v>61</v>
      </c>
      <c r="K24" s="6">
        <v>29</v>
      </c>
      <c r="L24" s="5" t="s">
        <v>26</v>
      </c>
      <c r="M24" s="5" t="s">
        <v>21</v>
      </c>
      <c r="N24" s="6">
        <v>67.510000000000005</v>
      </c>
      <c r="O24" s="8" t="s">
        <v>31</v>
      </c>
      <c r="P24" s="9">
        <v>5800</v>
      </c>
      <c r="Q24">
        <f t="shared" si="0"/>
        <v>5138.3584957337534</v>
      </c>
      <c r="R24">
        <v>8.0427</v>
      </c>
    </row>
    <row r="25" spans="1:38">
      <c r="A25" s="5">
        <v>24</v>
      </c>
      <c r="B25" s="6">
        <v>8849</v>
      </c>
      <c r="C25" s="6">
        <v>385</v>
      </c>
      <c r="D25" s="6" t="s">
        <v>29</v>
      </c>
      <c r="E25" s="6">
        <v>4</v>
      </c>
      <c r="F25" s="6">
        <v>109.35</v>
      </c>
      <c r="G25" s="6">
        <v>0.15</v>
      </c>
      <c r="H25" s="7">
        <v>45509.588194444441</v>
      </c>
      <c r="I25" s="5" t="s">
        <v>24</v>
      </c>
      <c r="J25" s="5" t="s">
        <v>62</v>
      </c>
      <c r="K25" s="6">
        <v>45</v>
      </c>
      <c r="L25" s="5" t="s">
        <v>20</v>
      </c>
      <c r="M25" s="5" t="s">
        <v>27</v>
      </c>
      <c r="N25" s="6">
        <v>18.760000000000002</v>
      </c>
      <c r="O25" s="8" t="s">
        <v>35</v>
      </c>
      <c r="P25" s="9">
        <v>3900</v>
      </c>
      <c r="Q25">
        <f t="shared" si="0"/>
        <v>4271.5075487201257</v>
      </c>
      <c r="R25">
        <v>9.0545000000000009</v>
      </c>
      <c r="U25">
        <v>60</v>
      </c>
      <c r="W25" s="46" t="s">
        <v>144</v>
      </c>
      <c r="X25" s="46"/>
      <c r="Y25" s="46"/>
      <c r="Z25" s="46"/>
      <c r="AA25" s="46"/>
      <c r="AB25" s="46"/>
      <c r="AC25" s="46"/>
      <c r="AD25" s="46"/>
      <c r="AE25" s="5"/>
    </row>
    <row r="26" spans="1:38">
      <c r="A26" s="5">
        <v>25</v>
      </c>
      <c r="B26" s="6">
        <v>3047</v>
      </c>
      <c r="C26" s="6">
        <v>419</v>
      </c>
      <c r="D26" s="6" t="s">
        <v>36</v>
      </c>
      <c r="E26" s="6">
        <v>4</v>
      </c>
      <c r="F26" s="6">
        <v>144.08000000000001</v>
      </c>
      <c r="G26" s="6">
        <v>0.28000000000000003</v>
      </c>
      <c r="H26" s="7">
        <v>45346.051388888889</v>
      </c>
      <c r="I26" s="5" t="s">
        <v>18</v>
      </c>
      <c r="J26" s="5" t="s">
        <v>63</v>
      </c>
      <c r="K26" s="6">
        <v>38</v>
      </c>
      <c r="L26" s="5" t="s">
        <v>40</v>
      </c>
      <c r="M26" s="5" t="s">
        <v>27</v>
      </c>
      <c r="N26" s="6">
        <v>33.4</v>
      </c>
      <c r="O26" s="8" t="s">
        <v>22</v>
      </c>
      <c r="P26" s="9">
        <v>8400</v>
      </c>
      <c r="Q26">
        <f t="shared" si="0"/>
        <v>7161.4522646160376</v>
      </c>
      <c r="R26">
        <v>7.0838999999999999</v>
      </c>
      <c r="U26">
        <v>61</v>
      </c>
      <c r="W26" s="5">
        <v>101</v>
      </c>
      <c r="X26" s="47" t="s">
        <v>84</v>
      </c>
      <c r="Y26" s="47" t="s">
        <v>120</v>
      </c>
      <c r="Z26" s="47" t="s">
        <v>85</v>
      </c>
      <c r="AA26" s="38">
        <v>45820</v>
      </c>
      <c r="AB26" s="47" t="s">
        <v>86</v>
      </c>
      <c r="AC26" s="47" t="s">
        <v>121</v>
      </c>
      <c r="AD26" s="47" t="s">
        <v>99</v>
      </c>
      <c r="AE26" s="5"/>
      <c r="AK26" t="s">
        <v>206</v>
      </c>
    </row>
    <row r="27" spans="1:38">
      <c r="A27" s="5">
        <v>26</v>
      </c>
      <c r="B27" s="6">
        <v>3747</v>
      </c>
      <c r="C27" s="6">
        <v>733</v>
      </c>
      <c r="D27" s="6" t="s">
        <v>43</v>
      </c>
      <c r="E27" s="6">
        <v>4</v>
      </c>
      <c r="F27" s="6">
        <v>576.59</v>
      </c>
      <c r="G27" s="6">
        <v>0.2</v>
      </c>
      <c r="H27" s="7">
        <v>45355.387499999997</v>
      </c>
      <c r="I27" s="5" t="s">
        <v>32</v>
      </c>
      <c r="J27" s="5" t="s">
        <v>64</v>
      </c>
      <c r="K27" s="6">
        <v>52</v>
      </c>
      <c r="L27" s="5" t="s">
        <v>40</v>
      </c>
      <c r="M27" s="5" t="s">
        <v>34</v>
      </c>
      <c r="N27" s="6">
        <v>21.91</v>
      </c>
      <c r="O27" s="8" t="s">
        <v>28</v>
      </c>
      <c r="P27" s="9">
        <v>4700</v>
      </c>
      <c r="Q27">
        <f t="shared" si="0"/>
        <v>5438.435679384811</v>
      </c>
      <c r="R27">
        <v>7.0053000000000001</v>
      </c>
      <c r="W27" s="47" t="s">
        <v>122</v>
      </c>
      <c r="X27" s="47" t="s">
        <v>87</v>
      </c>
      <c r="Y27" s="47" t="s">
        <v>123</v>
      </c>
      <c r="Z27" s="47" t="s">
        <v>88</v>
      </c>
      <c r="AA27" s="38">
        <v>45823</v>
      </c>
      <c r="AB27" s="47" t="s">
        <v>89</v>
      </c>
      <c r="AC27" s="47" t="s">
        <v>124</v>
      </c>
      <c r="AD27" s="47" t="s">
        <v>100</v>
      </c>
      <c r="AE27" s="5"/>
      <c r="AG27" s="17" t="s">
        <v>98</v>
      </c>
      <c r="AI27" s="12" t="s">
        <v>91</v>
      </c>
      <c r="AK27" t="s">
        <v>206</v>
      </c>
    </row>
    <row r="28" spans="1:38">
      <c r="A28" s="5">
        <v>27</v>
      </c>
      <c r="B28" s="6">
        <v>1189</v>
      </c>
      <c r="C28" s="6">
        <v>278</v>
      </c>
      <c r="D28" s="6" t="s">
        <v>36</v>
      </c>
      <c r="E28" s="6">
        <v>3</v>
      </c>
      <c r="F28" s="6">
        <v>954.41</v>
      </c>
      <c r="G28" s="6">
        <v>0.11</v>
      </c>
      <c r="H28" s="7">
        <v>45225.3</v>
      </c>
      <c r="I28" s="5" t="s">
        <v>55</v>
      </c>
      <c r="J28" s="5" t="s">
        <v>65</v>
      </c>
      <c r="K28" s="6">
        <v>66</v>
      </c>
      <c r="L28" s="5" t="s">
        <v>40</v>
      </c>
      <c r="M28" s="5" t="s">
        <v>34</v>
      </c>
      <c r="N28" s="6">
        <v>81.489999999999995</v>
      </c>
      <c r="O28" s="8" t="s">
        <v>31</v>
      </c>
      <c r="P28" s="9">
        <v>3400</v>
      </c>
      <c r="Q28">
        <f t="shared" si="0"/>
        <v>4011.5307038154433</v>
      </c>
      <c r="R28">
        <v>9.0167999999999999</v>
      </c>
      <c r="W28" s="47" t="s">
        <v>125</v>
      </c>
      <c r="X28" s="47" t="s">
        <v>90</v>
      </c>
      <c r="Y28" s="47" t="s">
        <v>126</v>
      </c>
      <c r="Z28" s="47" t="s">
        <v>91</v>
      </c>
      <c r="AA28" s="38">
        <v>45826</v>
      </c>
      <c r="AB28" s="47" t="s">
        <v>92</v>
      </c>
      <c r="AC28" s="47" t="s">
        <v>127</v>
      </c>
      <c r="AD28" s="47" t="s">
        <v>101</v>
      </c>
      <c r="AE28" s="5"/>
      <c r="AG28">
        <v>21</v>
      </c>
      <c r="AI28" s="13" t="s">
        <v>88</v>
      </c>
      <c r="AK28" t="s">
        <v>207</v>
      </c>
    </row>
    <row r="29" spans="1:38">
      <c r="A29" s="5">
        <v>28</v>
      </c>
      <c r="B29" s="6">
        <v>3734</v>
      </c>
      <c r="C29" s="6">
        <v>231</v>
      </c>
      <c r="D29" s="6" t="s">
        <v>50</v>
      </c>
      <c r="E29" s="6">
        <v>3</v>
      </c>
      <c r="F29" s="6">
        <v>513.82000000000005</v>
      </c>
      <c r="G29" s="6">
        <v>0.05</v>
      </c>
      <c r="H29" s="7">
        <v>45508.527083333334</v>
      </c>
      <c r="I29" s="5" t="s">
        <v>41</v>
      </c>
      <c r="J29" s="5" t="s">
        <v>66</v>
      </c>
      <c r="K29" s="6">
        <v>34</v>
      </c>
      <c r="L29" s="5" t="s">
        <v>40</v>
      </c>
      <c r="M29" s="5" t="s">
        <v>34</v>
      </c>
      <c r="N29" s="6">
        <v>77.27</v>
      </c>
      <c r="O29" s="8" t="s">
        <v>35</v>
      </c>
      <c r="P29" s="9">
        <v>6500</v>
      </c>
      <c r="Q29">
        <f t="shared" si="0"/>
        <v>5753.4592111446327</v>
      </c>
      <c r="R29">
        <v>4.0530999999999997</v>
      </c>
      <c r="W29" s="47" t="s">
        <v>128</v>
      </c>
      <c r="X29" s="47" t="s">
        <v>93</v>
      </c>
      <c r="Y29" s="47" t="s">
        <v>129</v>
      </c>
      <c r="Z29" s="47" t="s">
        <v>85</v>
      </c>
      <c r="AA29" s="38">
        <v>45828</v>
      </c>
      <c r="AB29" s="47" t="s">
        <v>94</v>
      </c>
      <c r="AC29" s="47" t="s">
        <v>130</v>
      </c>
      <c r="AD29" s="47" t="s">
        <v>102</v>
      </c>
      <c r="AE29" s="5"/>
      <c r="AG29">
        <v>30</v>
      </c>
      <c r="AI29" s="13" t="s">
        <v>91</v>
      </c>
      <c r="AK29" t="s">
        <v>208</v>
      </c>
    </row>
    <row r="30" spans="1:38">
      <c r="A30" s="5">
        <v>29</v>
      </c>
      <c r="B30" s="6">
        <v>4005</v>
      </c>
      <c r="C30" s="6">
        <v>699</v>
      </c>
      <c r="D30" s="6" t="s">
        <v>43</v>
      </c>
      <c r="E30" s="6">
        <v>1</v>
      </c>
      <c r="F30" s="6">
        <v>767.89</v>
      </c>
      <c r="G30" s="6">
        <v>0.11</v>
      </c>
      <c r="H30" s="7">
        <v>45418.068749999999</v>
      </c>
      <c r="I30" s="5" t="s">
        <v>41</v>
      </c>
      <c r="J30" s="5" t="s">
        <v>67</v>
      </c>
      <c r="K30" s="6">
        <v>52</v>
      </c>
      <c r="L30" s="5" t="s">
        <v>26</v>
      </c>
      <c r="M30" s="5" t="s">
        <v>27</v>
      </c>
      <c r="N30" s="6">
        <v>26.78</v>
      </c>
      <c r="O30" s="8" t="s">
        <v>22</v>
      </c>
      <c r="P30" s="9">
        <v>5600</v>
      </c>
      <c r="Q30">
        <f t="shared" si="0"/>
        <v>5646.0377633433891</v>
      </c>
      <c r="R30">
        <v>5.0159000000000002</v>
      </c>
      <c r="U30">
        <v>21</v>
      </c>
      <c r="W30" s="47" t="s">
        <v>131</v>
      </c>
      <c r="X30" s="47" t="s">
        <v>95</v>
      </c>
      <c r="Y30" s="47" t="s">
        <v>132</v>
      </c>
      <c r="Z30" s="47" t="s">
        <v>96</v>
      </c>
      <c r="AA30" s="38">
        <v>45830</v>
      </c>
      <c r="AB30" s="47" t="s">
        <v>97</v>
      </c>
      <c r="AC30" s="47" t="s">
        <v>133</v>
      </c>
      <c r="AD30" s="47" t="s">
        <v>103</v>
      </c>
      <c r="AE30" s="5"/>
      <c r="AG30">
        <v>32</v>
      </c>
      <c r="AI30" s="13" t="s">
        <v>91</v>
      </c>
      <c r="AK30" t="s">
        <v>209</v>
      </c>
    </row>
    <row r="31" spans="1:38">
      <c r="A31" s="5">
        <v>30</v>
      </c>
      <c r="B31" s="6">
        <v>5658</v>
      </c>
      <c r="C31" s="6">
        <v>829</v>
      </c>
      <c r="D31" s="6" t="s">
        <v>23</v>
      </c>
      <c r="E31" s="6">
        <v>4</v>
      </c>
      <c r="F31" s="6">
        <v>653.79</v>
      </c>
      <c r="G31" s="6">
        <v>0.01</v>
      </c>
      <c r="H31" s="7">
        <v>45222.481944444444</v>
      </c>
      <c r="I31" s="5" t="s">
        <v>18</v>
      </c>
      <c r="J31" s="5" t="s">
        <v>68</v>
      </c>
      <c r="K31" s="6">
        <v>68</v>
      </c>
      <c r="L31" s="5" t="s">
        <v>20</v>
      </c>
      <c r="M31" s="5" t="s">
        <v>34</v>
      </c>
      <c r="N31" s="6">
        <v>39.340000000000003</v>
      </c>
      <c r="O31" s="8" t="s">
        <v>28</v>
      </c>
      <c r="P31" s="9">
        <v>2800</v>
      </c>
      <c r="Q31">
        <f t="shared" si="0"/>
        <v>3653.8113290030165</v>
      </c>
      <c r="R31">
        <v>8.0168999999999997</v>
      </c>
      <c r="W31" s="47" t="s">
        <v>134</v>
      </c>
      <c r="X31" s="47" t="s">
        <v>104</v>
      </c>
      <c r="Y31" s="47" t="s">
        <v>120</v>
      </c>
      <c r="Z31" s="47" t="s">
        <v>105</v>
      </c>
      <c r="AA31" s="38">
        <v>45832</v>
      </c>
      <c r="AB31" s="47" t="s">
        <v>106</v>
      </c>
      <c r="AC31" s="47" t="s">
        <v>135</v>
      </c>
      <c r="AD31" s="47" t="s">
        <v>107</v>
      </c>
      <c r="AE31" s="5"/>
      <c r="AG31">
        <v>26</v>
      </c>
      <c r="AI31" s="13" t="s">
        <v>96</v>
      </c>
    </row>
    <row r="32" spans="1:38">
      <c r="A32" s="5">
        <v>31</v>
      </c>
      <c r="B32" s="6">
        <v>2899</v>
      </c>
      <c r="C32" s="6">
        <v>299</v>
      </c>
      <c r="D32" s="6" t="s">
        <v>50</v>
      </c>
      <c r="E32" s="6">
        <v>1</v>
      </c>
      <c r="F32" s="6">
        <v>361.67</v>
      </c>
      <c r="G32" s="6">
        <v>0.06</v>
      </c>
      <c r="H32" s="7">
        <v>45301.112500000003</v>
      </c>
      <c r="I32" s="5" t="s">
        <v>41</v>
      </c>
      <c r="J32" s="5" t="s">
        <v>69</v>
      </c>
      <c r="K32" s="6">
        <v>23</v>
      </c>
      <c r="L32" s="5" t="s">
        <v>26</v>
      </c>
      <c r="M32" s="5" t="s">
        <v>34</v>
      </c>
      <c r="N32" s="6">
        <v>91.11</v>
      </c>
      <c r="O32" s="8" t="s">
        <v>31</v>
      </c>
      <c r="P32" s="9">
        <v>7700</v>
      </c>
      <c r="Q32">
        <f t="shared" si="0"/>
        <v>6486.143398700905</v>
      </c>
      <c r="R32">
        <v>9.0629000000000008</v>
      </c>
      <c r="W32" s="47" t="s">
        <v>136</v>
      </c>
      <c r="X32" s="47" t="s">
        <v>108</v>
      </c>
      <c r="Y32" s="47" t="s">
        <v>123</v>
      </c>
      <c r="Z32" s="47" t="s">
        <v>85</v>
      </c>
      <c r="AA32" s="38">
        <v>45833</v>
      </c>
      <c r="AB32" s="47" t="s">
        <v>109</v>
      </c>
      <c r="AC32" s="47" t="s">
        <v>137</v>
      </c>
      <c r="AD32" s="47" t="s">
        <v>110</v>
      </c>
      <c r="AE32" s="5"/>
      <c r="AG32">
        <v>25</v>
      </c>
    </row>
    <row r="33" spans="1:44">
      <c r="A33" s="5">
        <v>32</v>
      </c>
      <c r="B33" s="6">
        <v>8734</v>
      </c>
      <c r="C33" s="6">
        <v>706</v>
      </c>
      <c r="D33" s="6" t="s">
        <v>36</v>
      </c>
      <c r="E33" s="6">
        <v>1</v>
      </c>
      <c r="F33" s="6">
        <v>327.64</v>
      </c>
      <c r="G33" s="6">
        <v>0.28000000000000003</v>
      </c>
      <c r="H33" s="7">
        <v>45422.78125</v>
      </c>
      <c r="I33" s="5" t="s">
        <v>41</v>
      </c>
      <c r="J33" s="5" t="s">
        <v>70</v>
      </c>
      <c r="K33" s="6">
        <v>44</v>
      </c>
      <c r="L33" s="5" t="s">
        <v>20</v>
      </c>
      <c r="M33" s="5" t="s">
        <v>21</v>
      </c>
      <c r="N33" s="6">
        <v>2.78</v>
      </c>
      <c r="O33" s="8" t="s">
        <v>35</v>
      </c>
      <c r="P33" s="9">
        <v>4500</v>
      </c>
      <c r="Q33">
        <f t="shared" si="0"/>
        <v>5095.8430196102709</v>
      </c>
      <c r="R33">
        <v>4.0846</v>
      </c>
      <c r="W33" s="47" t="s">
        <v>138</v>
      </c>
      <c r="X33" s="47" t="s">
        <v>111</v>
      </c>
      <c r="Y33" s="47" t="s">
        <v>129</v>
      </c>
      <c r="Z33" s="47" t="s">
        <v>88</v>
      </c>
      <c r="AA33" s="38">
        <v>45834</v>
      </c>
      <c r="AB33" s="47" t="s">
        <v>112</v>
      </c>
      <c r="AC33" s="47" t="s">
        <v>139</v>
      </c>
      <c r="AD33" s="47" t="s">
        <v>113</v>
      </c>
      <c r="AE33" s="5"/>
      <c r="AG33">
        <v>5</v>
      </c>
    </row>
    <row r="34" spans="1:44">
      <c r="A34" s="5">
        <v>33</v>
      </c>
      <c r="B34" s="6">
        <v>2267</v>
      </c>
      <c r="C34" s="6">
        <v>693</v>
      </c>
      <c r="D34" s="6" t="s">
        <v>23</v>
      </c>
      <c r="E34" s="6">
        <v>1</v>
      </c>
      <c r="F34" s="6">
        <v>623.45000000000005</v>
      </c>
      <c r="G34" s="6">
        <v>0.13</v>
      </c>
      <c r="H34" s="7">
        <v>45469.131944444445</v>
      </c>
      <c r="I34" s="5" t="s">
        <v>55</v>
      </c>
      <c r="J34" s="5" t="s">
        <v>71</v>
      </c>
      <c r="K34" s="6">
        <v>67</v>
      </c>
      <c r="L34" s="5" t="s">
        <v>26</v>
      </c>
      <c r="M34" s="5" t="s">
        <v>27</v>
      </c>
      <c r="N34" s="6">
        <v>65.39</v>
      </c>
      <c r="O34" s="8" t="s">
        <v>22</v>
      </c>
      <c r="P34" s="9">
        <v>6100</v>
      </c>
      <c r="Q34">
        <f t="shared" si="0"/>
        <v>5798.7529058830814</v>
      </c>
      <c r="R34">
        <v>7.0362999999999998</v>
      </c>
      <c r="W34" s="47" t="s">
        <v>140</v>
      </c>
      <c r="X34" s="47" t="s">
        <v>114</v>
      </c>
      <c r="Y34" s="47" t="s">
        <v>126</v>
      </c>
      <c r="Z34" s="47" t="s">
        <v>91</v>
      </c>
      <c r="AA34" s="38">
        <v>45835</v>
      </c>
      <c r="AB34" s="47" t="s">
        <v>115</v>
      </c>
      <c r="AC34" s="47" t="s">
        <v>141</v>
      </c>
      <c r="AD34" s="47" t="s">
        <v>116</v>
      </c>
      <c r="AE34" s="5"/>
      <c r="AG34">
        <v>26</v>
      </c>
    </row>
    <row r="35" spans="1:44">
      <c r="A35" s="5">
        <v>34</v>
      </c>
      <c r="B35" s="6">
        <v>2528</v>
      </c>
      <c r="C35" s="6">
        <v>544</v>
      </c>
      <c r="D35" s="6" t="s">
        <v>36</v>
      </c>
      <c r="E35" s="6">
        <v>3</v>
      </c>
      <c r="F35" s="6">
        <v>316.88</v>
      </c>
      <c r="G35" s="6">
        <v>0.16</v>
      </c>
      <c r="H35" s="7">
        <v>45185.723611111112</v>
      </c>
      <c r="I35" s="5" t="s">
        <v>32</v>
      </c>
      <c r="J35" s="5" t="s">
        <v>72</v>
      </c>
      <c r="K35" s="6">
        <v>40</v>
      </c>
      <c r="L35" s="5" t="s">
        <v>40</v>
      </c>
      <c r="M35" s="5" t="s">
        <v>27</v>
      </c>
      <c r="N35" s="6">
        <v>22.59</v>
      </c>
      <c r="O35" s="8" t="s">
        <v>28</v>
      </c>
      <c r="P35" s="9">
        <v>3600</v>
      </c>
      <c r="Q35">
        <f t="shared" si="0"/>
        <v>4259.6258717649243</v>
      </c>
      <c r="R35">
        <v>8.0643999999999991</v>
      </c>
      <c r="W35" s="47" t="s">
        <v>142</v>
      </c>
      <c r="X35" s="47" t="s">
        <v>117</v>
      </c>
      <c r="Y35" s="47" t="s">
        <v>123</v>
      </c>
      <c r="Z35" s="47" t="s">
        <v>85</v>
      </c>
      <c r="AA35" s="38">
        <v>45836</v>
      </c>
      <c r="AB35" s="47" t="s">
        <v>118</v>
      </c>
      <c r="AC35" s="47" t="s">
        <v>143</v>
      </c>
      <c r="AD35" s="47" t="s">
        <v>119</v>
      </c>
      <c r="AE35" s="5"/>
    </row>
    <row r="36" spans="1:44">
      <c r="A36" s="5">
        <v>35</v>
      </c>
      <c r="B36" s="6">
        <v>4556</v>
      </c>
      <c r="C36" s="6">
        <v>773</v>
      </c>
      <c r="D36" s="6" t="s">
        <v>38</v>
      </c>
      <c r="E36" s="6">
        <v>1</v>
      </c>
      <c r="F36" s="6">
        <v>560.67999999999995</v>
      </c>
      <c r="G36" s="6">
        <v>0.22</v>
      </c>
      <c r="H36" s="7">
        <v>45248.75277777778</v>
      </c>
      <c r="I36" s="5" t="s">
        <v>32</v>
      </c>
      <c r="J36" s="5" t="s">
        <v>73</v>
      </c>
      <c r="K36" s="6">
        <v>32</v>
      </c>
      <c r="L36" s="5" t="s">
        <v>20</v>
      </c>
      <c r="M36" s="5" t="s">
        <v>27</v>
      </c>
      <c r="N36" s="6">
        <v>50.36</v>
      </c>
      <c r="O36" s="8" t="s">
        <v>31</v>
      </c>
      <c r="P36" s="9">
        <v>4900</v>
      </c>
      <c r="Q36">
        <f t="shared" si="0"/>
        <v>4707.8877615294768</v>
      </c>
      <c r="R36">
        <v>6.0232999999999999</v>
      </c>
    </row>
    <row r="37" spans="1:44">
      <c r="A37" s="5">
        <v>36</v>
      </c>
      <c r="B37" s="6">
        <v>4890</v>
      </c>
      <c r="C37" s="6">
        <v>414</v>
      </c>
      <c r="D37" s="6" t="s">
        <v>43</v>
      </c>
      <c r="E37" s="6">
        <v>3</v>
      </c>
      <c r="F37" s="6">
        <v>423.86</v>
      </c>
      <c r="G37" s="6">
        <v>0.26</v>
      </c>
      <c r="H37" s="7">
        <v>45305.052777777775</v>
      </c>
      <c r="I37" s="5" t="s">
        <v>18</v>
      </c>
      <c r="J37" s="5" t="s">
        <v>74</v>
      </c>
      <c r="K37" s="6">
        <v>67</v>
      </c>
      <c r="L37" s="5" t="s">
        <v>40</v>
      </c>
      <c r="M37" s="5" t="s">
        <v>34</v>
      </c>
      <c r="N37" s="6">
        <v>16.57</v>
      </c>
      <c r="O37" s="8" t="s">
        <v>35</v>
      </c>
      <c r="P37" s="9">
        <v>7000</v>
      </c>
      <c r="Q37">
        <f t="shared" si="0"/>
        <v>6312.3663284588429</v>
      </c>
      <c r="R37">
        <v>6.6400000000000001E-2</v>
      </c>
    </row>
    <row r="38" spans="1:44">
      <c r="A38" s="6">
        <v>37</v>
      </c>
      <c r="B38" s="6">
        <v>9838</v>
      </c>
      <c r="C38" s="6">
        <v>900</v>
      </c>
      <c r="D38" s="6" t="s">
        <v>23</v>
      </c>
      <c r="E38" s="6">
        <v>1</v>
      </c>
      <c r="F38" s="6">
        <v>629.44000000000005</v>
      </c>
      <c r="G38" s="6">
        <v>0.23</v>
      </c>
      <c r="H38" s="6">
        <v>45242.0625</v>
      </c>
      <c r="I38" s="6" t="s">
        <v>24</v>
      </c>
      <c r="J38" s="6" t="s">
        <v>75</v>
      </c>
      <c r="K38" s="6">
        <v>42</v>
      </c>
      <c r="L38" s="6" t="s">
        <v>26</v>
      </c>
      <c r="M38" s="6" t="s">
        <v>27</v>
      </c>
      <c r="N38" s="6">
        <v>97.39</v>
      </c>
      <c r="O38" s="8" t="s">
        <v>22</v>
      </c>
      <c r="P38" s="9">
        <v>3200</v>
      </c>
      <c r="Q38" s="10">
        <f t="shared" si="0"/>
        <v>4133.7098985376524</v>
      </c>
      <c r="R38">
        <v>8.0340000000000007</v>
      </c>
    </row>
    <row r="39" spans="1:44">
      <c r="A39" s="6">
        <v>38</v>
      </c>
      <c r="B39" s="6">
        <v>6393</v>
      </c>
      <c r="C39" s="6">
        <v>907</v>
      </c>
      <c r="D39" s="6" t="s">
        <v>38</v>
      </c>
      <c r="E39" s="6">
        <v>1</v>
      </c>
      <c r="F39" s="6">
        <v>330.09</v>
      </c>
      <c r="G39" s="6">
        <v>0.21</v>
      </c>
      <c r="H39" s="6">
        <v>45521.574999999997</v>
      </c>
      <c r="I39" s="6" t="s">
        <v>41</v>
      </c>
      <c r="J39" s="6" t="s">
        <v>76</v>
      </c>
      <c r="K39" s="6">
        <v>37</v>
      </c>
      <c r="L39" s="6" t="s">
        <v>26</v>
      </c>
      <c r="M39" s="6" t="s">
        <v>27</v>
      </c>
      <c r="N39" s="6">
        <v>1.59</v>
      </c>
      <c r="O39" s="8" t="s">
        <v>28</v>
      </c>
      <c r="P39" s="9">
        <v>5400</v>
      </c>
      <c r="Q39" s="10">
        <f t="shared" si="0"/>
        <v>5020.1129695612954</v>
      </c>
      <c r="R39">
        <v>3.0137</v>
      </c>
    </row>
    <row r="40" spans="1:44">
      <c r="A40" s="6">
        <v>39</v>
      </c>
      <c r="B40" s="6">
        <v>9792</v>
      </c>
      <c r="C40" s="6">
        <v>172</v>
      </c>
      <c r="D40" s="6" t="s">
        <v>36</v>
      </c>
      <c r="E40" s="6">
        <v>4</v>
      </c>
      <c r="F40" s="6">
        <v>862.67</v>
      </c>
      <c r="G40" s="6">
        <v>0.01</v>
      </c>
      <c r="H40" s="6">
        <v>45279.065972222219</v>
      </c>
      <c r="I40" s="6" t="s">
        <v>55</v>
      </c>
      <c r="J40" s="6" t="s">
        <v>77</v>
      </c>
      <c r="K40" s="6">
        <v>55</v>
      </c>
      <c r="L40" s="6" t="s">
        <v>20</v>
      </c>
      <c r="M40" s="6" t="s">
        <v>27</v>
      </c>
      <c r="N40" s="6">
        <v>34.06</v>
      </c>
      <c r="O40" s="8" t="s">
        <v>31</v>
      </c>
      <c r="P40" s="9">
        <v>2600</v>
      </c>
      <c r="Q40" s="10">
        <f t="shared" si="0"/>
        <v>3326.0338908683884</v>
      </c>
      <c r="R40">
        <v>2.0152000000000001</v>
      </c>
      <c r="AE40" s="12" t="s">
        <v>98</v>
      </c>
      <c r="AF40" s="12" t="s">
        <v>148</v>
      </c>
      <c r="AH40" t="s">
        <v>201</v>
      </c>
      <c r="AI40" t="s">
        <v>202</v>
      </c>
      <c r="AJ40" t="s">
        <v>203</v>
      </c>
      <c r="AK40" t="s">
        <v>204</v>
      </c>
      <c r="AN40" s="37"/>
      <c r="AO40" s="37">
        <f>AL41</f>
        <v>147.66666666666666</v>
      </c>
      <c r="AR40" s="37">
        <f>AL41</f>
        <v>147.66666666666666</v>
      </c>
    </row>
    <row r="41" spans="1:44">
      <c r="A41" s="6">
        <v>40</v>
      </c>
      <c r="B41" s="6">
        <v>9433</v>
      </c>
      <c r="C41" s="6">
        <v>951</v>
      </c>
      <c r="D41" s="6" t="s">
        <v>38</v>
      </c>
      <c r="E41" s="6">
        <v>1</v>
      </c>
      <c r="F41" s="6">
        <v>511.03</v>
      </c>
      <c r="G41" s="6">
        <v>0.01</v>
      </c>
      <c r="H41" s="6">
        <v>45250.852777777778</v>
      </c>
      <c r="I41" s="6" t="s">
        <v>41</v>
      </c>
      <c r="J41" s="6" t="s">
        <v>78</v>
      </c>
      <c r="K41" s="6">
        <v>40</v>
      </c>
      <c r="L41" s="6" t="s">
        <v>40</v>
      </c>
      <c r="M41" s="6" t="s">
        <v>34</v>
      </c>
      <c r="N41" s="6">
        <v>85.58</v>
      </c>
      <c r="O41" s="8" t="s">
        <v>35</v>
      </c>
      <c r="P41" s="9">
        <v>5900</v>
      </c>
      <c r="Q41" s="10">
        <f t="shared" si="0"/>
        <v>5127.8101672605162</v>
      </c>
      <c r="R41">
        <v>3.0141</v>
      </c>
      <c r="X41" t="s">
        <v>145</v>
      </c>
      <c r="Y41" t="s">
        <v>83</v>
      </c>
      <c r="Z41" t="s">
        <v>147</v>
      </c>
      <c r="AE41" s="13" t="s">
        <v>4</v>
      </c>
      <c r="AF41" s="13">
        <v>20.000000000000004</v>
      </c>
      <c r="AG41" t="s">
        <v>98</v>
      </c>
      <c r="AH41">
        <v>300</v>
      </c>
      <c r="AI41">
        <v>20</v>
      </c>
      <c r="AJ41">
        <v>123</v>
      </c>
      <c r="AL41" s="37">
        <f>AVERAGE(AH41:AK41)</f>
        <v>147.66666666666666</v>
      </c>
      <c r="AN41">
        <v>100</v>
      </c>
      <c r="AO41">
        <f t="dataTable" ref="AO41:AO44" dt2D="0" dtr="0" r1="AK41"/>
        <v>135.75</v>
      </c>
      <c r="AQ41">
        <v>100</v>
      </c>
      <c r="AR41">
        <f t="dataTable" ref="AR41:AR43" dt2D="0" dtr="0" r1="AK41" ca="1"/>
        <v>135.75</v>
      </c>
    </row>
    <row r="42" spans="1:44">
      <c r="A42" s="5">
        <v>41</v>
      </c>
      <c r="B42" s="6">
        <v>8513</v>
      </c>
      <c r="C42" s="6">
        <v>907</v>
      </c>
      <c r="D42" s="6" t="s">
        <v>29</v>
      </c>
      <c r="E42" s="6">
        <v>2</v>
      </c>
      <c r="F42" s="6">
        <v>42.59</v>
      </c>
      <c r="G42" s="6">
        <v>0.06</v>
      </c>
      <c r="H42" s="7">
        <v>45530.314583333333</v>
      </c>
      <c r="I42" s="5" t="s">
        <v>18</v>
      </c>
      <c r="J42" s="5" t="s">
        <v>79</v>
      </c>
      <c r="K42" s="6">
        <v>68</v>
      </c>
      <c r="L42" s="5" t="s">
        <v>40</v>
      </c>
      <c r="M42" s="5" t="s">
        <v>34</v>
      </c>
      <c r="N42" s="6">
        <v>51.92</v>
      </c>
      <c r="O42" s="8" t="s">
        <v>22</v>
      </c>
      <c r="P42" s="9">
        <v>7300</v>
      </c>
      <c r="Q42" s="9">
        <v>1700</v>
      </c>
      <c r="X42" t="s">
        <v>146</v>
      </c>
      <c r="Y42" t="s">
        <v>146</v>
      </c>
      <c r="Z42" t="s">
        <v>146</v>
      </c>
      <c r="AC42" s="12" t="s">
        <v>148</v>
      </c>
      <c r="AE42" s="13" t="s">
        <v>5</v>
      </c>
      <c r="AF42" s="13">
        <v>500</v>
      </c>
      <c r="AG42" t="s">
        <v>148</v>
      </c>
      <c r="AH42">
        <v>200</v>
      </c>
      <c r="AI42">
        <v>50</v>
      </c>
      <c r="AJ42">
        <v>156</v>
      </c>
      <c r="AL42" s="37">
        <f t="shared" ref="AL42:AL44" si="1">AVERAGE(AH42:AK42)</f>
        <v>135.33333333333334</v>
      </c>
      <c r="AN42">
        <v>120</v>
      </c>
      <c r="AO42">
        <v>140.75</v>
      </c>
      <c r="AQ42">
        <v>120</v>
      </c>
      <c r="AR42">
        <v>140.75</v>
      </c>
    </row>
    <row r="43" spans="1:44">
      <c r="AC43" s="13">
        <v>100</v>
      </c>
      <c r="AE43" s="13" t="s">
        <v>149</v>
      </c>
      <c r="AF43" s="18">
        <f>AF41*AF42</f>
        <v>10000.000000000002</v>
      </c>
      <c r="AG43" t="s">
        <v>173</v>
      </c>
      <c r="AH43">
        <v>100</v>
      </c>
      <c r="AI43">
        <v>100</v>
      </c>
      <c r="AJ43">
        <v>425</v>
      </c>
      <c r="AL43" s="37">
        <f t="shared" si="1"/>
        <v>208.33333333333334</v>
      </c>
      <c r="AN43">
        <v>130</v>
      </c>
      <c r="AO43">
        <v>143.25</v>
      </c>
      <c r="AQ43">
        <v>130</v>
      </c>
      <c r="AR43">
        <v>143.25</v>
      </c>
    </row>
    <row r="44" spans="1:44">
      <c r="AC44" s="13">
        <v>50000</v>
      </c>
      <c r="AG44" t="s">
        <v>174</v>
      </c>
      <c r="AH44">
        <v>50</v>
      </c>
      <c r="AI44">
        <v>135</v>
      </c>
      <c r="AJ44">
        <v>124</v>
      </c>
      <c r="AL44" s="37">
        <f t="shared" si="1"/>
        <v>103</v>
      </c>
      <c r="AN44">
        <v>150</v>
      </c>
      <c r="AO44">
        <v>148.25</v>
      </c>
    </row>
    <row r="45" spans="1:44">
      <c r="AC45" s="19">
        <v>0.1</v>
      </c>
    </row>
    <row r="46" spans="1:44">
      <c r="AC46" s="18">
        <v>1000000</v>
      </c>
    </row>
    <row r="47" spans="1:44">
      <c r="T47">
        <v>21</v>
      </c>
      <c r="U47" t="s">
        <v>205</v>
      </c>
      <c r="V47">
        <v>2005</v>
      </c>
      <c r="AC47" s="18">
        <v>10885400</v>
      </c>
    </row>
    <row r="49" spans="9:32" ht="19.5">
      <c r="I49" s="48" t="s">
        <v>197</v>
      </c>
      <c r="J49" s="48" t="s">
        <v>218</v>
      </c>
      <c r="K49" s="48" t="s">
        <v>219</v>
      </c>
    </row>
    <row r="50" spans="9:32">
      <c r="I50" s="5" t="s">
        <v>199</v>
      </c>
      <c r="J50" s="5">
        <v>21</v>
      </c>
      <c r="K50" s="5">
        <v>15</v>
      </c>
    </row>
    <row r="51" spans="9:32">
      <c r="I51" s="5" t="s">
        <v>215</v>
      </c>
      <c r="J51" s="5">
        <v>20</v>
      </c>
      <c r="K51" s="5">
        <v>15</v>
      </c>
    </row>
    <row r="52" spans="9:32">
      <c r="I52" s="5" t="s">
        <v>220</v>
      </c>
      <c r="J52" s="5">
        <v>17</v>
      </c>
      <c r="K52" s="5">
        <v>11</v>
      </c>
    </row>
    <row r="53" spans="9:32" ht="24.75">
      <c r="M53" s="58" t="s">
        <v>238</v>
      </c>
      <c r="N53" s="58" t="s">
        <v>239</v>
      </c>
      <c r="AA53" s="39" t="s">
        <v>177</v>
      </c>
      <c r="AB53" s="39" t="s">
        <v>178</v>
      </c>
      <c r="AC53" s="39" t="s">
        <v>179</v>
      </c>
      <c r="AD53" s="39" t="s">
        <v>180</v>
      </c>
      <c r="AE53" s="39" t="s">
        <v>181</v>
      </c>
      <c r="AF53" s="39" t="s">
        <v>182</v>
      </c>
    </row>
    <row r="54" spans="9:32">
      <c r="M54" s="60" t="s">
        <v>240</v>
      </c>
      <c r="N54" s="61">
        <v>10000</v>
      </c>
      <c r="AA54" s="38">
        <v>46179</v>
      </c>
      <c r="AB54" s="5" t="s">
        <v>183</v>
      </c>
      <c r="AC54" s="5" t="s">
        <v>184</v>
      </c>
      <c r="AD54" s="5" t="s">
        <v>188</v>
      </c>
      <c r="AE54" s="5" t="s">
        <v>192</v>
      </c>
      <c r="AF54" s="5">
        <v>56</v>
      </c>
    </row>
    <row r="55" spans="9:32" ht="21">
      <c r="M55" s="59" t="s">
        <v>241</v>
      </c>
      <c r="N55" s="61">
        <v>30000</v>
      </c>
      <c r="AA55" s="38">
        <v>46181</v>
      </c>
      <c r="AB55" s="5" t="s">
        <v>183</v>
      </c>
      <c r="AC55" s="5" t="s">
        <v>185</v>
      </c>
      <c r="AD55" s="5" t="s">
        <v>189</v>
      </c>
      <c r="AE55" s="5" t="s">
        <v>193</v>
      </c>
      <c r="AF55" s="5">
        <v>26</v>
      </c>
    </row>
    <row r="56" spans="9:32" ht="24.75">
      <c r="I56" s="51" t="s">
        <v>213</v>
      </c>
      <c r="J56" s="51" t="s">
        <v>218</v>
      </c>
      <c r="K56" s="51" t="s">
        <v>221</v>
      </c>
      <c r="M56" s="51" t="s">
        <v>242</v>
      </c>
      <c r="N56" s="61">
        <v>20000</v>
      </c>
      <c r="AA56" s="38">
        <v>46183</v>
      </c>
      <c r="AB56" s="5" t="s">
        <v>183</v>
      </c>
      <c r="AC56" s="5" t="s">
        <v>186</v>
      </c>
      <c r="AD56" s="5" t="s">
        <v>190</v>
      </c>
      <c r="AE56" s="5" t="s">
        <v>194</v>
      </c>
      <c r="AF56" s="5">
        <v>15</v>
      </c>
    </row>
    <row r="57" spans="9:32">
      <c r="I57" s="5" t="s">
        <v>222</v>
      </c>
      <c r="J57" s="5">
        <v>21</v>
      </c>
      <c r="K57" s="5" t="s">
        <v>225</v>
      </c>
      <c r="M57" s="62" t="s">
        <v>243</v>
      </c>
      <c r="N57" s="61">
        <v>3000</v>
      </c>
      <c r="AA57" s="38">
        <v>46184</v>
      </c>
      <c r="AB57" s="5" t="s">
        <v>183</v>
      </c>
      <c r="AC57" s="5" t="s">
        <v>187</v>
      </c>
      <c r="AD57" s="5" t="s">
        <v>191</v>
      </c>
      <c r="AE57" s="5" t="s">
        <v>195</v>
      </c>
      <c r="AF57" s="5">
        <v>75</v>
      </c>
    </row>
    <row r="58" spans="9:32">
      <c r="I58" s="5" t="s">
        <v>215</v>
      </c>
      <c r="J58" s="5">
        <v>20</v>
      </c>
      <c r="K58" s="5" t="s">
        <v>223</v>
      </c>
    </row>
    <row r="59" spans="9:32">
      <c r="I59" s="5" t="s">
        <v>220</v>
      </c>
      <c r="J59" s="5">
        <v>17</v>
      </c>
      <c r="K59" s="5" t="s">
        <v>224</v>
      </c>
    </row>
    <row r="61" spans="9:32">
      <c r="AA61" s="40" t="s">
        <v>196</v>
      </c>
      <c r="AB61" s="40" t="s">
        <v>197</v>
      </c>
      <c r="AC61" s="40" t="s">
        <v>198</v>
      </c>
    </row>
    <row r="62" spans="9:32">
      <c r="AA62" s="16">
        <v>46179</v>
      </c>
      <c r="AB62" t="s">
        <v>199</v>
      </c>
      <c r="AC62" t="s">
        <v>200</v>
      </c>
    </row>
    <row r="64" spans="9:32">
      <c r="I64" s="52" t="s">
        <v>226</v>
      </c>
      <c r="J64" s="53" t="s">
        <v>227</v>
      </c>
    </row>
    <row r="65" spans="9:29">
      <c r="I65" s="52" t="s">
        <v>228</v>
      </c>
      <c r="J65" s="53" t="s">
        <v>229</v>
      </c>
    </row>
    <row r="66" spans="9:29">
      <c r="I66" s="52" t="s">
        <v>230</v>
      </c>
      <c r="J66" s="53" t="s">
        <v>231</v>
      </c>
    </row>
    <row r="67" spans="9:29" ht="23.25">
      <c r="I67" s="52" t="s">
        <v>232</v>
      </c>
      <c r="J67" s="53" t="s">
        <v>233</v>
      </c>
      <c r="AA67" s="42" t="s">
        <v>212</v>
      </c>
      <c r="AB67" s="42" t="s">
        <v>213</v>
      </c>
      <c r="AC67" s="42" t="s">
        <v>214</v>
      </c>
    </row>
    <row r="68" spans="9:29">
      <c r="I68" s="52" t="s">
        <v>234</v>
      </c>
      <c r="J68" s="53" t="s">
        <v>235</v>
      </c>
      <c r="AA68" s="5">
        <v>1</v>
      </c>
      <c r="AB68" s="5" t="s">
        <v>84</v>
      </c>
      <c r="AC68" s="5" t="s">
        <v>217</v>
      </c>
    </row>
    <row r="69" spans="9:29">
      <c r="I69" s="52" t="s">
        <v>236</v>
      </c>
      <c r="J69" s="53" t="s">
        <v>237</v>
      </c>
      <c r="AA69" s="5">
        <v>2</v>
      </c>
      <c r="AB69" s="5" t="s">
        <v>215</v>
      </c>
      <c r="AC69" s="5" t="s">
        <v>216</v>
      </c>
    </row>
  </sheetData>
  <scenarios current="2" show="2" sqref="AC49">
    <scenario name="V" locked="1" count="1" user="MITS" comment="Created by MITS on 08-06-2026">
      <inputCells r="AK41" val="90"/>
    </scenario>
    <scenario name="M" locked="1" count="1" user="MITS" comment="Created by MITS on 08-06-2026">
      <inputCells r="AK41" val="120"/>
    </scenario>
    <scenario name="marks50" locked="1" count="1" user="MITS" comment="Created by MITS on 08-06-2026">
      <inputCells r="AK41" val="50"/>
    </scenario>
  </scenarios>
  <mergeCells count="3">
    <mergeCell ref="X10:X17"/>
    <mergeCell ref="W25:AD25"/>
    <mergeCell ref="AG20:AL20"/>
  </mergeCells>
  <conditionalFormatting sqref="O1:O42">
    <cfRule type="cellIs" dxfId="5" priority="2" operator="equal">
      <formula>"south"</formula>
    </cfRule>
  </conditionalFormatting>
  <conditionalFormatting sqref="P1">
    <cfRule type="top10" dxfId="4" priority="5" bottom="1" rank="10"/>
    <cfRule type="top10" dxfId="3" priority="6" percent="1" rank="10"/>
    <cfRule type="top10" dxfId="2" priority="7" percent="1" rank="5"/>
    <cfRule type="top10" priority="8" rank="5"/>
  </conditionalFormatting>
  <conditionalFormatting sqref="P1:P42">
    <cfRule type="cellIs" dxfId="1" priority="3" operator="lessThan">
      <formula>3000</formula>
    </cfRule>
  </conditionalFormatting>
  <conditionalFormatting sqref="P2:P42">
    <cfRule type="cellIs" dxfId="0" priority="4" operator="greaterThan">
      <formula>6000</formula>
    </cfRule>
  </conditionalFormatting>
  <conditionalFormatting sqref="Q42 Q1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{873A632B-BF6E-45F0-8A13-46C9C2E5C8DB}</x14:id>
        </ext>
      </extLst>
    </cfRule>
  </conditionalFormatting>
  <dataValidations count="7">
    <dataValidation type="whole" allowBlank="1" showInputMessage="1" showErrorMessage="1" sqref="U25" xr:uid="{C0A79A9D-ABF1-465B-92AF-B84156F5F6B4}">
      <formula1>20</formula1>
      <formula2>60</formula2>
    </dataValidation>
    <dataValidation type="whole" allowBlank="1" showInputMessage="1" showErrorMessage="1" sqref="Y26:Y37" xr:uid="{7C6C4FDB-467B-4175-9061-46A0E1F20713}">
      <formula1>10</formula1>
      <formula2>19</formula2>
    </dataValidation>
    <dataValidation type="whole" operator="notBetween" allowBlank="1" showInputMessage="1" showErrorMessage="1" error="VADDHU UNCLE_x000a_" sqref="AG28:AG35" xr:uid="{A1E49E3B-9A22-44B8-968C-FBE33ABCABBF}">
      <formula1>10</formula1>
      <formula2>20</formula2>
    </dataValidation>
    <dataValidation type="list" allowBlank="1" showInputMessage="1" showErrorMessage="1" sqref="AI27:AI31" xr:uid="{7A867409-28D8-4402-B0B1-61E4423CA24A}">
      <formula1>$AI$28:$AI$31</formula1>
    </dataValidation>
    <dataValidation type="whole" operator="notBetween" allowBlank="1" showInputMessage="1" showErrorMessage="1" sqref="U30" xr:uid="{EE789274-030B-403E-B5D0-0C9021FD9115}">
      <formula1>0</formula1>
      <formula2>20</formula2>
    </dataValidation>
    <dataValidation type="list" allowBlank="1" showInputMessage="1" showErrorMessage="1" sqref="AK26" xr:uid="{BD1E1735-6604-41AA-981B-E5A84FF14A38}">
      <formula1>$AK$27:$AK$30</formula1>
    </dataValidation>
    <dataValidation type="whole" operator="notBetween" allowBlank="1" showInputMessage="1" showErrorMessage="1" sqref="AD19:AD21" xr:uid="{58300784-3B25-4B19-A86B-32CF9E0B29E0}">
      <formula1>0</formula1>
      <formula2>25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3A632B-BF6E-45F0-8A13-46C9C2E5C8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Q42 Q1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4DD47-B93F-4264-8D56-DC69132EA5C9}">
  <dimension ref="A49:AI211"/>
  <sheetViews>
    <sheetView tabSelected="1" topLeftCell="E12" zoomScale="70" zoomScaleNormal="70" workbookViewId="0">
      <selection activeCell="AH78" sqref="AH78"/>
    </sheetView>
  </sheetViews>
  <sheetFormatPr defaultRowHeight="15"/>
  <cols>
    <col min="13" max="13" width="14.85546875" bestFit="1" customWidth="1"/>
    <col min="14" max="14" width="8.7109375" bestFit="1" customWidth="1"/>
    <col min="27" max="27" width="10.42578125" bestFit="1" customWidth="1"/>
    <col min="28" max="28" width="6.28515625" bestFit="1" customWidth="1"/>
    <col min="29" max="29" width="12.42578125" bestFit="1" customWidth="1"/>
  </cols>
  <sheetData>
    <row r="49" spans="7:33" ht="19.5">
      <c r="I49" s="48" t="s">
        <v>197</v>
      </c>
      <c r="J49" s="48" t="s">
        <v>218</v>
      </c>
      <c r="K49" s="48" t="s">
        <v>219</v>
      </c>
    </row>
    <row r="50" spans="7:33">
      <c r="I50" s="5" t="s">
        <v>199</v>
      </c>
      <c r="J50" s="5">
        <v>21</v>
      </c>
      <c r="K50" s="5">
        <v>15</v>
      </c>
    </row>
    <row r="51" spans="7:33">
      <c r="I51" s="5" t="s">
        <v>215</v>
      </c>
      <c r="J51" s="5">
        <v>20</v>
      </c>
      <c r="K51" s="5">
        <v>15</v>
      </c>
    </row>
    <row r="52" spans="7:33">
      <c r="I52" s="5" t="s">
        <v>220</v>
      </c>
      <c r="J52" s="5">
        <v>17</v>
      </c>
      <c r="K52" s="5">
        <v>11</v>
      </c>
    </row>
    <row r="53" spans="7:33" ht="24.75">
      <c r="M53" s="58" t="s">
        <v>238</v>
      </c>
      <c r="N53" s="58" t="s">
        <v>239</v>
      </c>
    </row>
    <row r="54" spans="7:33">
      <c r="M54" s="60" t="s">
        <v>240</v>
      </c>
      <c r="N54" s="61">
        <v>10000</v>
      </c>
    </row>
    <row r="55" spans="7:33" ht="21">
      <c r="M55" s="59" t="s">
        <v>241</v>
      </c>
      <c r="N55" s="61">
        <v>30000</v>
      </c>
    </row>
    <row r="56" spans="7:33" ht="24.75">
      <c r="I56" s="54" t="s">
        <v>213</v>
      </c>
      <c r="J56" s="51" t="s">
        <v>218</v>
      </c>
      <c r="K56" s="51" t="s">
        <v>221</v>
      </c>
      <c r="M56" s="63" t="s">
        <v>242</v>
      </c>
      <c r="N56" s="61">
        <v>20000</v>
      </c>
    </row>
    <row r="57" spans="7:33">
      <c r="H57" s="56" t="s">
        <v>226</v>
      </c>
      <c r="I57" s="53" t="s">
        <v>227</v>
      </c>
      <c r="J57" s="55">
        <v>21</v>
      </c>
      <c r="K57" s="5" t="s">
        <v>225</v>
      </c>
      <c r="M57" s="62" t="s">
        <v>243</v>
      </c>
      <c r="N57" s="61">
        <v>3000</v>
      </c>
    </row>
    <row r="58" spans="7:33">
      <c r="H58" s="56" t="s">
        <v>228</v>
      </c>
      <c r="I58" s="53" t="s">
        <v>229</v>
      </c>
      <c r="J58" s="55">
        <v>20</v>
      </c>
      <c r="K58" s="5" t="s">
        <v>223</v>
      </c>
    </row>
    <row r="59" spans="7:33">
      <c r="H59" s="56" t="s">
        <v>230</v>
      </c>
      <c r="I59" s="53" t="s">
        <v>231</v>
      </c>
      <c r="J59" s="55">
        <v>17</v>
      </c>
      <c r="K59" s="64" t="s">
        <v>224</v>
      </c>
      <c r="L59" s="56" t="s">
        <v>226</v>
      </c>
      <c r="M59" s="53" t="s">
        <v>227</v>
      </c>
    </row>
    <row r="60" spans="7:33">
      <c r="H60" s="56" t="s">
        <v>232</v>
      </c>
      <c r="I60" s="53" t="s">
        <v>233</v>
      </c>
      <c r="L60" s="56" t="s">
        <v>228</v>
      </c>
      <c r="M60" s="53" t="s">
        <v>229</v>
      </c>
    </row>
    <row r="61" spans="7:33">
      <c r="H61" s="56" t="s">
        <v>234</v>
      </c>
      <c r="I61" s="53" t="s">
        <v>235</v>
      </c>
      <c r="L61" s="56" t="s">
        <v>230</v>
      </c>
      <c r="M61" s="53" t="s">
        <v>231</v>
      </c>
      <c r="AA61" s="41"/>
      <c r="AB61" s="41"/>
      <c r="AC61" s="41"/>
    </row>
    <row r="62" spans="7:33" ht="24.75">
      <c r="H62" s="57" t="s">
        <v>236</v>
      </c>
      <c r="I62" s="53" t="s">
        <v>237</v>
      </c>
      <c r="L62" s="56" t="s">
        <v>232</v>
      </c>
      <c r="M62" s="53" t="s">
        <v>233</v>
      </c>
      <c r="AA62" s="16"/>
      <c r="AE62" s="51" t="s">
        <v>213</v>
      </c>
      <c r="AF62" s="51" t="s">
        <v>218</v>
      </c>
      <c r="AG62" s="51" t="s">
        <v>221</v>
      </c>
    </row>
    <row r="63" spans="7:33">
      <c r="G63" s="56" t="s">
        <v>226</v>
      </c>
      <c r="H63" s="53" t="s">
        <v>227</v>
      </c>
      <c r="L63" s="56" t="s">
        <v>234</v>
      </c>
      <c r="M63" s="53" t="s">
        <v>235</v>
      </c>
      <c r="AE63" s="5" t="s">
        <v>222</v>
      </c>
      <c r="AF63" s="5">
        <v>21</v>
      </c>
      <c r="AG63" s="5" t="s">
        <v>225</v>
      </c>
    </row>
    <row r="64" spans="7:33">
      <c r="G64" s="56" t="s">
        <v>228</v>
      </c>
      <c r="H64" s="53" t="s">
        <v>229</v>
      </c>
      <c r="L64" s="57" t="s">
        <v>236</v>
      </c>
      <c r="M64" s="53" t="s">
        <v>237</v>
      </c>
      <c r="AE64" s="5" t="s">
        <v>215</v>
      </c>
      <c r="AF64" s="5">
        <v>20</v>
      </c>
      <c r="AG64" s="5" t="s">
        <v>223</v>
      </c>
    </row>
    <row r="65" spans="5:35">
      <c r="G65" s="56" t="s">
        <v>230</v>
      </c>
      <c r="H65" s="53" t="s">
        <v>231</v>
      </c>
      <c r="K65" s="56" t="s">
        <v>226</v>
      </c>
      <c r="L65" s="53" t="s">
        <v>227</v>
      </c>
      <c r="AE65" s="5" t="s">
        <v>220</v>
      </c>
      <c r="AF65" s="5">
        <v>17</v>
      </c>
      <c r="AG65" s="5" t="s">
        <v>224</v>
      </c>
    </row>
    <row r="66" spans="5:35">
      <c r="G66" s="56" t="s">
        <v>232</v>
      </c>
      <c r="H66" s="53" t="s">
        <v>233</v>
      </c>
      <c r="K66" s="56" t="s">
        <v>228</v>
      </c>
      <c r="L66" s="53" t="s">
        <v>229</v>
      </c>
    </row>
    <row r="67" spans="5:35">
      <c r="G67" s="57" t="s">
        <v>234</v>
      </c>
      <c r="H67" s="67" t="s">
        <v>235</v>
      </c>
      <c r="K67" s="56" t="s">
        <v>230</v>
      </c>
      <c r="L67" s="53" t="s">
        <v>231</v>
      </c>
    </row>
    <row r="68" spans="5:35" ht="24.75">
      <c r="G68" s="51" t="s">
        <v>213</v>
      </c>
      <c r="H68" s="51" t="s">
        <v>218</v>
      </c>
      <c r="I68" s="51" t="s">
        <v>221</v>
      </c>
      <c r="K68" s="56" t="s">
        <v>232</v>
      </c>
      <c r="L68" s="53" t="s">
        <v>233</v>
      </c>
    </row>
    <row r="69" spans="5:35" ht="24.75">
      <c r="F69" s="66" t="s">
        <v>226</v>
      </c>
      <c r="G69" s="53" t="s">
        <v>222</v>
      </c>
      <c r="H69" s="5">
        <v>21</v>
      </c>
      <c r="I69" s="5" t="s">
        <v>225</v>
      </c>
      <c r="K69" s="56" t="s">
        <v>234</v>
      </c>
      <c r="L69" s="53" t="s">
        <v>235</v>
      </c>
      <c r="AF69" s="51" t="s">
        <v>213</v>
      </c>
      <c r="AG69" s="51" t="s">
        <v>218</v>
      </c>
      <c r="AH69" s="51" t="s">
        <v>221</v>
      </c>
    </row>
    <row r="70" spans="5:35">
      <c r="F70" s="66" t="s">
        <v>228</v>
      </c>
      <c r="G70" s="53" t="s">
        <v>215</v>
      </c>
      <c r="H70" s="5">
        <v>20</v>
      </c>
      <c r="I70" s="5" t="s">
        <v>223</v>
      </c>
      <c r="K70" s="56" t="s">
        <v>236</v>
      </c>
      <c r="L70" s="53" t="s">
        <v>237</v>
      </c>
      <c r="AF70" s="5" t="s">
        <v>222</v>
      </c>
      <c r="AG70" s="5">
        <v>21</v>
      </c>
      <c r="AH70" s="5" t="s">
        <v>225</v>
      </c>
    </row>
    <row r="71" spans="5:35">
      <c r="F71" s="66" t="s">
        <v>230</v>
      </c>
      <c r="G71" s="53" t="s">
        <v>220</v>
      </c>
      <c r="H71" s="5">
        <v>17</v>
      </c>
      <c r="I71" s="5" t="s">
        <v>224</v>
      </c>
      <c r="J71" s="68" t="s">
        <v>226</v>
      </c>
      <c r="K71" s="65" t="s">
        <v>227</v>
      </c>
      <c r="AF71" s="5" t="s">
        <v>215</v>
      </c>
      <c r="AG71" s="5">
        <v>20</v>
      </c>
      <c r="AH71" s="5" t="s">
        <v>223</v>
      </c>
    </row>
    <row r="72" spans="5:35" ht="24.75">
      <c r="F72" s="56" t="s">
        <v>232</v>
      </c>
      <c r="G72" s="65" t="s">
        <v>233</v>
      </c>
      <c r="J72" s="56" t="s">
        <v>228</v>
      </c>
      <c r="K72" s="53" t="s">
        <v>229</v>
      </c>
      <c r="AE72" s="71" t="s">
        <v>213</v>
      </c>
      <c r="AF72" s="51" t="s">
        <v>220</v>
      </c>
      <c r="AG72" s="51">
        <v>17</v>
      </c>
      <c r="AH72" s="5" t="s">
        <v>224</v>
      </c>
    </row>
    <row r="73" spans="5:35">
      <c r="F73" s="56" t="s">
        <v>234</v>
      </c>
      <c r="G73" s="53" t="s">
        <v>235</v>
      </c>
      <c r="J73" s="56" t="s">
        <v>230</v>
      </c>
      <c r="K73" s="53" t="s">
        <v>231</v>
      </c>
      <c r="AE73" s="5" t="s">
        <v>222</v>
      </c>
      <c r="AF73" s="50">
        <v>21</v>
      </c>
      <c r="AG73" s="50" t="s">
        <v>225</v>
      </c>
    </row>
    <row r="74" spans="5:35">
      <c r="F74" s="57" t="s">
        <v>236</v>
      </c>
      <c r="G74" s="53" t="s">
        <v>237</v>
      </c>
      <c r="J74" s="57" t="s">
        <v>232</v>
      </c>
      <c r="K74" s="53" t="s">
        <v>233</v>
      </c>
      <c r="W74" s="56" t="s">
        <v>226</v>
      </c>
      <c r="X74" s="53" t="s">
        <v>227</v>
      </c>
      <c r="AE74" s="5" t="s">
        <v>215</v>
      </c>
      <c r="AF74" s="5">
        <v>20</v>
      </c>
      <c r="AG74" s="5" t="s">
        <v>223</v>
      </c>
    </row>
    <row r="75" spans="5:35" ht="24.75">
      <c r="E75" s="56" t="s">
        <v>226</v>
      </c>
      <c r="F75" s="53" t="s">
        <v>227</v>
      </c>
      <c r="H75" s="51" t="s">
        <v>213</v>
      </c>
      <c r="I75" s="51" t="s">
        <v>218</v>
      </c>
      <c r="J75" s="51" t="s">
        <v>221</v>
      </c>
      <c r="K75" s="69" t="s">
        <v>235</v>
      </c>
      <c r="W75" s="56" t="s">
        <v>228</v>
      </c>
      <c r="X75" s="53" t="s">
        <v>229</v>
      </c>
      <c r="AE75" s="5" t="s">
        <v>220</v>
      </c>
      <c r="AF75" s="5">
        <v>17</v>
      </c>
      <c r="AG75" s="49" t="s">
        <v>224</v>
      </c>
    </row>
    <row r="76" spans="5:35" ht="24.75">
      <c r="E76" s="56" t="s">
        <v>228</v>
      </c>
      <c r="F76" s="53" t="s">
        <v>229</v>
      </c>
      <c r="H76" s="5" t="s">
        <v>222</v>
      </c>
      <c r="I76" s="5">
        <v>21</v>
      </c>
      <c r="J76" s="56" t="s">
        <v>225</v>
      </c>
      <c r="K76" s="69" t="s">
        <v>237</v>
      </c>
      <c r="W76" s="56" t="s">
        <v>230</v>
      </c>
      <c r="X76" s="53" t="s">
        <v>231</v>
      </c>
      <c r="AG76" s="51" t="s">
        <v>213</v>
      </c>
      <c r="AH76" s="51" t="s">
        <v>218</v>
      </c>
      <c r="AI76" s="51" t="s">
        <v>221</v>
      </c>
    </row>
    <row r="77" spans="5:35">
      <c r="E77" s="56" t="s">
        <v>230</v>
      </c>
      <c r="F77" s="53" t="s">
        <v>231</v>
      </c>
      <c r="H77" s="5" t="s">
        <v>215</v>
      </c>
      <c r="I77" s="56">
        <v>20</v>
      </c>
      <c r="J77" s="53" t="s">
        <v>223</v>
      </c>
      <c r="W77" s="56" t="s">
        <v>232</v>
      </c>
      <c r="X77" s="53" t="s">
        <v>233</v>
      </c>
      <c r="AG77" s="5" t="s">
        <v>222</v>
      </c>
      <c r="AH77" s="5">
        <v>21</v>
      </c>
      <c r="AI77" s="5" t="s">
        <v>225</v>
      </c>
    </row>
    <row r="78" spans="5:35">
      <c r="E78" s="56" t="s">
        <v>232</v>
      </c>
      <c r="F78" s="53" t="s">
        <v>233</v>
      </c>
      <c r="H78" s="5" t="s">
        <v>220</v>
      </c>
      <c r="I78" s="56">
        <v>17</v>
      </c>
      <c r="J78" s="53" t="s">
        <v>224</v>
      </c>
      <c r="W78" s="56" t="s">
        <v>234</v>
      </c>
      <c r="X78" s="53" t="s">
        <v>235</v>
      </c>
      <c r="AG78" s="5" t="s">
        <v>215</v>
      </c>
      <c r="AH78" s="5">
        <v>20</v>
      </c>
      <c r="AI78" s="5" t="s">
        <v>223</v>
      </c>
    </row>
    <row r="79" spans="5:35" ht="24.75">
      <c r="E79" s="56" t="s">
        <v>234</v>
      </c>
      <c r="F79" s="53" t="s">
        <v>235</v>
      </c>
      <c r="I79" s="70" t="s">
        <v>230</v>
      </c>
      <c r="J79" s="65" t="s">
        <v>231</v>
      </c>
      <c r="W79" s="57" t="s">
        <v>236</v>
      </c>
      <c r="X79" s="53" t="s">
        <v>237</v>
      </c>
      <c r="AF79" s="71" t="s">
        <v>213</v>
      </c>
      <c r="AG79" s="51" t="s">
        <v>220</v>
      </c>
      <c r="AH79" s="51">
        <v>17</v>
      </c>
      <c r="AI79" s="5" t="s">
        <v>224</v>
      </c>
    </row>
    <row r="80" spans="5:35">
      <c r="E80" s="57" t="s">
        <v>236</v>
      </c>
      <c r="F80" s="53" t="s">
        <v>237</v>
      </c>
      <c r="I80" s="56" t="s">
        <v>232</v>
      </c>
      <c r="J80" s="53" t="s">
        <v>233</v>
      </c>
      <c r="V80" s="56" t="s">
        <v>226</v>
      </c>
      <c r="W80" s="53" t="s">
        <v>227</v>
      </c>
      <c r="AF80" s="5" t="s">
        <v>222</v>
      </c>
      <c r="AG80" s="50">
        <v>21</v>
      </c>
      <c r="AH80" s="50" t="s">
        <v>225</v>
      </c>
    </row>
    <row r="81" spans="2:35">
      <c r="D81" s="56" t="s">
        <v>226</v>
      </c>
      <c r="E81" s="53" t="s">
        <v>227</v>
      </c>
      <c r="I81" s="57" t="s">
        <v>234</v>
      </c>
      <c r="J81" s="67" t="s">
        <v>235</v>
      </c>
      <c r="V81" s="56" t="s">
        <v>228</v>
      </c>
      <c r="W81" s="53" t="s">
        <v>229</v>
      </c>
      <c r="AF81" s="5" t="s">
        <v>215</v>
      </c>
      <c r="AG81" s="5">
        <v>20</v>
      </c>
      <c r="AH81" s="5" t="s">
        <v>223</v>
      </c>
    </row>
    <row r="82" spans="2:35" ht="24.75">
      <c r="D82" s="56" t="s">
        <v>228</v>
      </c>
      <c r="E82" s="53" t="s">
        <v>229</v>
      </c>
      <c r="I82" s="51" t="s">
        <v>213</v>
      </c>
      <c r="J82" s="51" t="s">
        <v>218</v>
      </c>
      <c r="K82" s="51" t="s">
        <v>221</v>
      </c>
      <c r="V82" s="56" t="s">
        <v>230</v>
      </c>
      <c r="W82" s="53" t="s">
        <v>231</v>
      </c>
      <c r="AF82" s="5" t="s">
        <v>220</v>
      </c>
      <c r="AG82" s="5">
        <v>17</v>
      </c>
      <c r="AH82" s="5" t="s">
        <v>224</v>
      </c>
    </row>
    <row r="83" spans="2:35">
      <c r="D83" s="56" t="s">
        <v>230</v>
      </c>
      <c r="E83" s="53" t="s">
        <v>231</v>
      </c>
      <c r="H83" s="66" t="s">
        <v>226</v>
      </c>
      <c r="I83" s="53" t="s">
        <v>222</v>
      </c>
      <c r="J83" s="5">
        <v>21</v>
      </c>
      <c r="K83" s="5" t="s">
        <v>225</v>
      </c>
      <c r="V83" s="56" t="s">
        <v>232</v>
      </c>
      <c r="W83" s="53" t="s">
        <v>233</v>
      </c>
    </row>
    <row r="84" spans="2:35">
      <c r="D84" s="56" t="s">
        <v>232</v>
      </c>
      <c r="E84" s="53" t="s">
        <v>233</v>
      </c>
      <c r="H84" s="66" t="s">
        <v>228</v>
      </c>
      <c r="I84" s="53" t="s">
        <v>215</v>
      </c>
      <c r="J84" s="5">
        <v>20</v>
      </c>
      <c r="K84" s="5" t="s">
        <v>223</v>
      </c>
      <c r="V84" s="56" t="s">
        <v>234</v>
      </c>
      <c r="W84" s="53" t="s">
        <v>235</v>
      </c>
    </row>
    <row r="85" spans="2:35">
      <c r="D85" s="56" t="s">
        <v>234</v>
      </c>
      <c r="E85" s="53" t="s">
        <v>235</v>
      </c>
      <c r="H85" s="66" t="s">
        <v>230</v>
      </c>
      <c r="I85" s="53" t="s">
        <v>220</v>
      </c>
      <c r="J85" s="5">
        <v>17</v>
      </c>
      <c r="K85" s="5" t="s">
        <v>224</v>
      </c>
      <c r="V85" s="57" t="s">
        <v>236</v>
      </c>
      <c r="W85" s="53" t="s">
        <v>237</v>
      </c>
    </row>
    <row r="86" spans="2:35" ht="24.75">
      <c r="D86" s="56" t="s">
        <v>236</v>
      </c>
      <c r="E86" s="53" t="s">
        <v>237</v>
      </c>
      <c r="H86" s="56" t="s">
        <v>232</v>
      </c>
      <c r="I86" s="65" t="s">
        <v>233</v>
      </c>
      <c r="U86" s="56" t="s">
        <v>226</v>
      </c>
      <c r="V86" s="53" t="s">
        <v>227</v>
      </c>
      <c r="AG86" s="51" t="s">
        <v>213</v>
      </c>
      <c r="AH86" s="51" t="s">
        <v>218</v>
      </c>
      <c r="AI86" s="51" t="s">
        <v>221</v>
      </c>
    </row>
    <row r="87" spans="2:35">
      <c r="C87" s="56" t="s">
        <v>226</v>
      </c>
      <c r="D87" s="65" t="s">
        <v>227</v>
      </c>
      <c r="H87" s="56" t="s">
        <v>234</v>
      </c>
      <c r="I87" s="53" t="s">
        <v>235</v>
      </c>
      <c r="U87" s="56" t="s">
        <v>228</v>
      </c>
      <c r="V87" s="53" t="s">
        <v>229</v>
      </c>
      <c r="AG87" s="5" t="s">
        <v>222</v>
      </c>
      <c r="AH87" s="5">
        <v>21</v>
      </c>
      <c r="AI87" s="5" t="s">
        <v>225</v>
      </c>
    </row>
    <row r="88" spans="2:35">
      <c r="C88" s="56" t="s">
        <v>228</v>
      </c>
      <c r="D88" s="53" t="s">
        <v>229</v>
      </c>
      <c r="H88" s="56" t="s">
        <v>236</v>
      </c>
      <c r="I88" s="53" t="s">
        <v>237</v>
      </c>
      <c r="U88" s="56" t="s">
        <v>230</v>
      </c>
      <c r="V88" s="53" t="s">
        <v>231</v>
      </c>
      <c r="AG88" s="5" t="s">
        <v>215</v>
      </c>
      <c r="AH88" s="5">
        <v>20</v>
      </c>
      <c r="AI88" s="5" t="s">
        <v>223</v>
      </c>
    </row>
    <row r="89" spans="2:35">
      <c r="C89" s="56" t="s">
        <v>230</v>
      </c>
      <c r="D89" s="53" t="s">
        <v>231</v>
      </c>
      <c r="U89" s="56" t="s">
        <v>232</v>
      </c>
      <c r="V89" s="53" t="s">
        <v>233</v>
      </c>
      <c r="AG89" s="5" t="s">
        <v>220</v>
      </c>
      <c r="AH89" s="5">
        <v>17</v>
      </c>
      <c r="AI89" s="5" t="s">
        <v>224</v>
      </c>
    </row>
    <row r="90" spans="2:35">
      <c r="C90" s="56" t="s">
        <v>232</v>
      </c>
      <c r="D90" s="53" t="s">
        <v>233</v>
      </c>
      <c r="U90" s="56" t="s">
        <v>234</v>
      </c>
      <c r="V90" s="53" t="s">
        <v>235</v>
      </c>
    </row>
    <row r="91" spans="2:35">
      <c r="C91" s="56" t="s">
        <v>234</v>
      </c>
      <c r="D91" s="53" t="s">
        <v>235</v>
      </c>
      <c r="U91" s="57" t="s">
        <v>236</v>
      </c>
      <c r="V91" s="53" t="s">
        <v>237</v>
      </c>
    </row>
    <row r="92" spans="2:35">
      <c r="C92" s="57" t="s">
        <v>236</v>
      </c>
      <c r="D92" s="53" t="s">
        <v>237</v>
      </c>
      <c r="T92" s="56" t="s">
        <v>226</v>
      </c>
      <c r="U92" s="53" t="s">
        <v>227</v>
      </c>
    </row>
    <row r="93" spans="2:35">
      <c r="B93" s="56" t="s">
        <v>226</v>
      </c>
      <c r="C93" s="53" t="s">
        <v>227</v>
      </c>
      <c r="T93" s="56" t="s">
        <v>228</v>
      </c>
      <c r="U93" s="53" t="s">
        <v>229</v>
      </c>
    </row>
    <row r="94" spans="2:35">
      <c r="B94" s="56" t="s">
        <v>228</v>
      </c>
      <c r="C94" s="53" t="s">
        <v>229</v>
      </c>
      <c r="T94" s="56" t="s">
        <v>230</v>
      </c>
      <c r="U94" s="53" t="s">
        <v>231</v>
      </c>
    </row>
    <row r="95" spans="2:35">
      <c r="B95" s="56" t="s">
        <v>230</v>
      </c>
      <c r="C95" s="53" t="s">
        <v>231</v>
      </c>
      <c r="T95" s="56" t="s">
        <v>232</v>
      </c>
      <c r="U95" s="53" t="s">
        <v>233</v>
      </c>
    </row>
    <row r="96" spans="2:35">
      <c r="B96" s="56" t="s">
        <v>232</v>
      </c>
      <c r="C96" s="53" t="s">
        <v>233</v>
      </c>
      <c r="T96" s="56" t="s">
        <v>234</v>
      </c>
      <c r="U96" s="53" t="s">
        <v>235</v>
      </c>
    </row>
    <row r="97" spans="1:29">
      <c r="B97" s="56" t="s">
        <v>234</v>
      </c>
      <c r="C97" s="53" t="s">
        <v>235</v>
      </c>
      <c r="T97" s="57" t="s">
        <v>236</v>
      </c>
      <c r="U97" s="53" t="s">
        <v>237</v>
      </c>
    </row>
    <row r="98" spans="1:29">
      <c r="B98" s="57" t="s">
        <v>236</v>
      </c>
      <c r="C98" s="53" t="s">
        <v>237</v>
      </c>
      <c r="S98" s="56" t="s">
        <v>226</v>
      </c>
      <c r="T98" s="53" t="s">
        <v>227</v>
      </c>
    </row>
    <row r="99" spans="1:29">
      <c r="A99" s="56" t="s">
        <v>226</v>
      </c>
      <c r="B99" s="53" t="s">
        <v>227</v>
      </c>
      <c r="S99" s="56" t="s">
        <v>228</v>
      </c>
      <c r="T99" s="53" t="s">
        <v>229</v>
      </c>
    </row>
    <row r="100" spans="1:29">
      <c r="A100" s="56" t="s">
        <v>228</v>
      </c>
      <c r="B100" s="53" t="s">
        <v>229</v>
      </c>
      <c r="S100" s="56" t="s">
        <v>230</v>
      </c>
      <c r="T100" s="53" t="s">
        <v>231</v>
      </c>
    </row>
    <row r="101" spans="1:29">
      <c r="A101" s="56" t="s">
        <v>230</v>
      </c>
      <c r="B101" s="53" t="s">
        <v>231</v>
      </c>
      <c r="S101" s="56" t="s">
        <v>232</v>
      </c>
      <c r="T101" s="53" t="s">
        <v>233</v>
      </c>
    </row>
    <row r="102" spans="1:29">
      <c r="A102" s="56" t="s">
        <v>232</v>
      </c>
      <c r="B102" s="53" t="s">
        <v>233</v>
      </c>
      <c r="S102" s="56" t="s">
        <v>234</v>
      </c>
      <c r="T102" s="53" t="s">
        <v>235</v>
      </c>
    </row>
    <row r="103" spans="1:29">
      <c r="A103" s="56" t="s">
        <v>234</v>
      </c>
      <c r="B103" s="53" t="s">
        <v>235</v>
      </c>
      <c r="S103" s="56" t="s">
        <v>236</v>
      </c>
      <c r="T103" s="53" t="s">
        <v>237</v>
      </c>
    </row>
    <row r="104" spans="1:29">
      <c r="A104" s="56" t="s">
        <v>236</v>
      </c>
      <c r="B104" s="53" t="s">
        <v>237</v>
      </c>
    </row>
    <row r="111" spans="1:29" ht="23.25">
      <c r="AA111" s="43" t="s">
        <v>212</v>
      </c>
      <c r="AB111" s="43" t="s">
        <v>213</v>
      </c>
      <c r="AC111" s="43" t="s">
        <v>214</v>
      </c>
    </row>
    <row r="112" spans="1:29">
      <c r="AA112" s="5">
        <v>1</v>
      </c>
      <c r="AB112" s="5" t="s">
        <v>84</v>
      </c>
      <c r="AC112" s="5" t="s">
        <v>217</v>
      </c>
    </row>
    <row r="113" spans="27:29">
      <c r="AA113" s="5">
        <v>2</v>
      </c>
      <c r="AB113" s="5" t="s">
        <v>215</v>
      </c>
      <c r="AC113" s="5" t="s">
        <v>216</v>
      </c>
    </row>
    <row r="160" spans="21:23" ht="23.25">
      <c r="U160" s="43" t="s">
        <v>212</v>
      </c>
      <c r="V160" s="43" t="s">
        <v>213</v>
      </c>
      <c r="W160" s="43" t="s">
        <v>214</v>
      </c>
    </row>
    <row r="161" spans="21:23">
      <c r="U161" s="5">
        <v>1</v>
      </c>
      <c r="V161" s="5" t="s">
        <v>84</v>
      </c>
      <c r="W161" s="5" t="s">
        <v>217</v>
      </c>
    </row>
    <row r="162" spans="21:23">
      <c r="U162" s="5">
        <v>2</v>
      </c>
      <c r="V162" s="5" t="s">
        <v>215</v>
      </c>
      <c r="W162" s="5" t="s">
        <v>216</v>
      </c>
    </row>
    <row r="209" spans="15:17" ht="23.25">
      <c r="O209" s="43" t="s">
        <v>212</v>
      </c>
      <c r="P209" s="43" t="s">
        <v>213</v>
      </c>
      <c r="Q209" s="43" t="s">
        <v>214</v>
      </c>
    </row>
    <row r="210" spans="15:17">
      <c r="O210" s="5">
        <v>1</v>
      </c>
      <c r="P210" s="5" t="s">
        <v>84</v>
      </c>
      <c r="Q210" s="5" t="s">
        <v>217</v>
      </c>
    </row>
    <row r="211" spans="15:17">
      <c r="O211" s="5">
        <v>2</v>
      </c>
      <c r="P211" s="5" t="s">
        <v>215</v>
      </c>
      <c r="Q211" s="5" t="s">
        <v>216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Scenario PivotTable</vt:lpstr>
      <vt:lpstr>Scenario Summary</vt:lpstr>
      <vt:lpstr>Scenario Summary 2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MITS</dc:creator>
  <cp:lastModifiedBy>MITS</cp:lastModifiedBy>
  <dcterms:created xsi:type="dcterms:W3CDTF">2026-06-08T04:40:41Z</dcterms:created>
  <dcterms:modified xsi:type="dcterms:W3CDTF">2026-06-09T04:38:13Z</dcterms:modified>
</cp:coreProperties>
</file>
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4EB23E2B-3ECD-47FD-B7CB-000E01A0AACF}" xr6:coauthVersionLast="47" xr6:coauthVersionMax="47" xr10:uidLastSave="{00000000-0000-0000-0000-000000000000}"/>
  <bookViews>
    <workbookView xWindow="-120" yWindow="-120" windowWidth="29040" windowHeight="15720" activeTab="3" xr2:uid="{3F3791E6-A937-4577-9C1C-37AAD511AFCA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5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 l="1"/>
  <c r="C10" i="1"/>
  <c r="D11" i="1"/>
  <c r="D10" i="1"/>
  <c r="C9" i="1"/>
  <c r="C8" i="1"/>
  <c r="F6" i="1"/>
  <c r="C7" i="1"/>
  <c r="F8" i="1"/>
  <c r="F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<sst xmlns="http://schemas.openxmlformats.org/spreadsheetml/2006/main" count="117" uniqueCount="63">
  <si>
    <t>s.no</t>
  </si>
  <si>
    <t>name</t>
  </si>
  <si>
    <t>class</t>
  </si>
  <si>
    <t>roll no</t>
  </si>
  <si>
    <t>Vikku</t>
  </si>
  <si>
    <t>Vicky</t>
  </si>
  <si>
    <t>Vampire</t>
  </si>
  <si>
    <t>Loki</t>
  </si>
  <si>
    <t>Puma</t>
  </si>
  <si>
    <t>marks</t>
  </si>
  <si>
    <t>Column1</t>
  </si>
  <si>
    <t>MEAN</t>
  </si>
  <si>
    <t>MODE</t>
  </si>
  <si>
    <t>MEDIAN</t>
  </si>
  <si>
    <t>RANGE</t>
  </si>
  <si>
    <t>VARIANCE</t>
  </si>
  <si>
    <t>STD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</si>
  <si>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</si>
  <si>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</si>
  <si>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</si>
  <si>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</si>
  <si>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</si>
  <si>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</si>
  <si>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</si>
  <si>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</si>
  <si>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</si>
  <si>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</si>
  <si>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</si>
  <si>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</si>
  <si>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</si>
  <si>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</si>
  <si>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</si>
  <si>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</si>
  <si>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</si>
  <si>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</si>
  <si>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</si>
  <si>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</si>
  <si>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</si>
  <si>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</si>
  <si>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</si>
  <si>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</si>
  <si>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</si>
  <si>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</si>
  <si>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</si>
  <si>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</si>
  <si>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</si>
  <si>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</si>
  <si>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</si>
  <si>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</si>
  <si>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</si>
  <si>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</si>
  <si>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</si>
  <si>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</si>
  <si>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</si>
  <si>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</si>
  <si>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</si>
  <si>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</si>
  <si>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DESCRIPTIVE</t>
  </si>
  <si>
    <t>Row Labels</t>
  </si>
  <si>
    <t>Grand Total</t>
  </si>
  <si>
    <t>Sum of class</t>
  </si>
  <si>
    <t>Sum of roll no</t>
  </si>
  <si>
    <t>Sum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</si>
</sst>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explosion val="4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E53-4018-9AAF-8D00F5404CD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E53-4018-9AAF-8D00F5404CD4}"/>
              </c:ext>
            </c:extLst>
          </c:dPt>
          <c: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3-4018-9AAF-8D00F5404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 CHART</a:t>
            </a:r>
          </a:p>
        </c:rich>
      </c:tx>
      <c:layout>
        <c:manualLayout>
          <c:xMode val="edge"/>
          <c:yMode val="edge"/>
          <c:x val="0.39838188976377953"/>
          <c:y val="4.1522491349480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19</c:v>
                </c:pt>
                <c:pt idx="3">
                  <c:v>41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C-4ADE-824E-3B933EFFB4F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Sheet1!$E$2:$E$6</c:f>
              <c:numCache>
                <c:formatCode>General</c:formatCode>
                <c:ptCount val="5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C-4ADE-824E-3B933EFF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7861104"/>
        <c:axId val="777862064"/>
        <c:axId val="0"/>
      </c:bar3DChart>
      <c:catAx>
        <c:axId val="777861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2064"/>
        <c:crosses val="autoZero"/>
        <c:auto val="1"/>
        <c:lblAlgn val="ctr"/>
        <c:lblOffset val="100"/>
        <c:noMultiLvlLbl val="0"/>
      </c:catAx>
      <c:valAx>
        <c:axId val="7778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6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[excel1.xlsx]Sheet1!PivotTable5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Sheet1!$V$3</c:f>
              <c:strCache>
                <c:ptCount val="1"/>
                <c:pt idx="0">
                  <c:v>Sum of roll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Sheet1!$U$4:$U$9</c:f>
              <c:strCache>
                <c:ptCount val="5"/>
                <c:pt idx="0">
                  <c:v>Loki</c:v>
                </c:pt>
                <c:pt idx="1">
                  <c:v>Puma</c:v>
                </c:pt>
                <c:pt idx="2">
                  <c:v>Vampire</c:v>
                </c:pt>
                <c:pt idx="3">
                  <c:v>Vicky</c:v>
                </c:pt>
                <c:pt idx="4">
                  <c:v>Vikku</c:v>
                </c:pt>
              </c:strCache>
            </c:strRef>
          </c:cat>
          <c:val>
            <c:numRef>
              <c:f>Sheet1!$V$4:$V$9</c:f>
              <c:numCache>
                <c:formatCode>General</c:formatCode>
                <c:ptCount val="5"/>
                <c:pt idx="0">
                  <c:v>41</c:v>
                </c:pt>
                <c:pt idx="1">
                  <c:v>21</c:v>
                </c:pt>
                <c:pt idx="2">
                  <c:v>19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E-44FB-AE69-B7690BEAD9D0}"/>
            </c:ext>
          </c:extLst>
        </c:ser>
        <c:ser>
          <c:idx val="1"/>
          <c:order val="1"/>
          <c:tx>
            <c:strRef>
              <c:f>Sheet1!$W$3</c:f>
              <c:strCache>
                <c:ptCount val="1"/>
                <c:pt idx="0">
                  <c:v>Sum of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Sheet1!$U$4:$U$9</c:f>
              <c:strCache>
                <c:ptCount val="5"/>
                <c:pt idx="0">
                  <c:v>Loki</c:v>
                </c:pt>
                <c:pt idx="1">
                  <c:v>Puma</c:v>
                </c:pt>
                <c:pt idx="2">
                  <c:v>Vampire</c:v>
                </c:pt>
                <c:pt idx="3">
                  <c:v>Vicky</c:v>
                </c:pt>
                <c:pt idx="4">
                  <c:v>Vikku</c:v>
                </c:pt>
              </c:strCache>
            </c:strRef>
          </c:cat>
          <c:val>
            <c:numRef>
              <c:f>Sheet1!$W$4:$W$9</c:f>
              <c:numCache>
                <c:formatCode>General</c:formatCode>
                <c:ptCount val="5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E-44FB-AE69-B7690BEAD9D0}"/>
            </c:ext>
          </c:extLst>
        </c:ser>
        <c:ser>
          <c:idx val="2"/>
          <c:order val="2"/>
          <c:tx>
            <c:strRef>
              <c:f>Sheet1!$X$3</c:f>
              <c:strCache>
                <c:ptCount val="1"/>
                <c:pt idx="0">
                  <c:v>Sum of class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Sheet1!$U$4:$U$9</c:f>
              <c:strCache>
                <c:ptCount val="5"/>
                <c:pt idx="0">
                  <c:v>Loki</c:v>
                </c:pt>
                <c:pt idx="1">
                  <c:v>Puma</c:v>
                </c:pt>
                <c:pt idx="2">
                  <c:v>Vampire</c:v>
                </c:pt>
                <c:pt idx="3">
                  <c:v>Vicky</c:v>
                </c:pt>
                <c:pt idx="4">
                  <c:v>Vikku</c:v>
                </c:pt>
              </c:strCache>
            </c:strRef>
          </c:cat>
          <c:val>
            <c:numRef>
              <c:f>Sheet1!$X$4:$X$9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E-44FB-AE69-B7690BEA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882928"/>
        <c:axId val="965882448"/>
      </c:barChart>
      <c:catAx>
        <c:axId val="96588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82448"/>
        <c:crosses val="autoZero"/>
        <c:auto val="1"/>
        <c:lblAlgn val="ctr"/>
        <c:lblOffset val="100"/>
        <c:noMultiLvlLbl val="0"/>
      </c:catAx>
      <c:valAx>
        <c:axId val="9658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8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Sheet1!$C$2:$C$6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19</c:v>
                </c:pt>
                <c:pt idx="3">
                  <c:v>41</c:v>
                </c:pt>
                <c:pt idx="4">
                  <c:v>21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C564-40A1-BA17-52DD6D464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76578448"/>
        <c:axId val="976578928"/>
      </c:bubbleChart>
      <c:valAx>
        <c:axId val="97657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78928"/>
        <c:crosses val="autoZero"/>
        <c:crossBetween val="midCat"/>
      </c:valAx>
      <c:valAx>
        <c:axId val="976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57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23812</xdr:rowOff>
    </xdr:from>
    <xdr:to>
      <xdr:col>7</xdr:col>
      <xdr:colOff>304800</xdr:colOff>
      <xdr:row>30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AB232D-A986-0CB6-1DA2-DFFC777A0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395287</xdr:colOff>
      <xdr:row>19</xdr:row>
      <xdr:rowOff>90487</xdr:rowOff>
    </xdr:from>
    <xdr:to>
      <xdr:col>15</xdr:col>
      <xdr:colOff>90487</xdr:colOff>
      <xdr:row>33</xdr:row>
      <xdr:rowOff>166687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495B73-30A4-7EB9-BA2A-3E6560AE9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38100</xdr:colOff>
      <xdr:row>13</xdr:row>
      <xdr:rowOff>119062</xdr:rowOff>
    </xdr:from>
    <xdr:to>
      <xdr:col>25</xdr:col>
      <xdr:colOff>590550</xdr:colOff>
      <xdr:row>27</xdr:row>
      <xdr:rowOff>157162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AA4519-ACAE-D236-E282-13F965C14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257175</xdr:colOff>
      <xdr:row>25</xdr:row>
      <xdr:rowOff>176212</xdr:rowOff>
    </xdr:from>
    <xdr:to>
      <xdr:col>20</xdr:col>
      <xdr:colOff>0</xdr:colOff>
      <xdr:row>37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7B3679-1CFC-48AA-C96B-841B07330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68.640353819443" createdVersion="8" refreshedVersion="8" minRefreshableVersion="3" recordCount="5" xr:uid="{F23924B0-D250-4C37-9B27-F95C670A35B9}">
  <cacheSource type="worksheet">
    <worksheetSource name="Table1"/>
  </cacheSource>
  <cacheFields count="6">
    <cacheField name="s.no" numFmtId="0">
      <sharedItems containsSemiMixedTypes="0" containsString="0" containsNumber="1" containsInteger="1" minValue="1" maxValue="5"/>
    </cacheField>
    <cacheField name="name" numFmtId="0">
      <sharedItems count="5">
        <s v="Vikku"/>
        <s v="Vicky"/>
        <s v="Vampire"/>
        <s v="Loki"/>
        <s v="Puma"/>
      </sharedItems>
    </cacheField>
    <cacheField name="class" numFmtId="0">
      <sharedItems containsSemiMixedTypes="0" containsString="0" containsNumber="1" containsInteger="1" minValue="9" maxValue="10"/>
    </cacheField>
    <cacheField name="roll no" numFmtId="0">
      <sharedItems containsSemiMixedTypes="0" containsString="0" containsNumber="1" containsInteger="1" minValue="2" maxValue="41"/>
    </cacheField>
    <cacheField name="marks" numFmtId="0">
      <sharedItems containsSemiMixedTypes="0" containsString="0" containsNumber="1" containsInteger="1" minValue="98" maxValue="98"/>
    </cacheField>
    <cacheField name="Column1" numFmtId="0">
      <sharedItems containsString="0" containsBlank="1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68.641866087964" createdVersion="8" refreshedVersion="8" minRefreshableVersion="3" recordCount="5" xr:uid="{AF844C77-FF16-4605-9401-591F465E5DF3}">
  <cacheSource type="worksheet">
    <worksheetSource name="Table1[[name]:[marks]]"/>
  </cacheSource>
  <cacheFields count="4">
    <cacheField name="name" numFmtId="0">
      <sharedItems count="5">
        <s v="Vikku"/>
        <s v="Vicky"/>
        <s v="Vampire"/>
        <s v="Loki"/>
        <s v="Puma"/>
      </sharedItems>
    </cacheField>
    <cacheField name="class" numFmtId="0">
      <sharedItems containsSemiMixedTypes="0" containsString="0" containsNumber="1" containsInteger="1" minValue="9" maxValue="10" count="2">
        <n v="10"/>
        <n v="9"/>
      </sharedItems>
    </cacheField>
    <cacheField name="roll no" numFmtId="0">
      <sharedItems containsSemiMixedTypes="0" containsString="0" containsNumber="1" containsInteger="1" minValue="2" maxValue="41"/>
    </cacheField>
    <cacheField name="marks" numFmtId="0">
      <sharedItems containsSemiMixedTypes="0" containsString="0" containsNumber="1" containsInteger="1" minValue="98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10"/>
    <n v="2"/>
    <n v="98"/>
    <m/>
  </r>
  <r>
    <n v="2"/>
    <x v="1"/>
    <n v="9"/>
    <n v="7"/>
    <n v="98"/>
    <m/>
  </r>
  <r>
    <n v="3"/>
    <x v="2"/>
    <n v="9"/>
    <n v="19"/>
    <n v="98"/>
    <m/>
  </r>
  <r>
    <n v="4"/>
    <x v="3"/>
    <n v="10"/>
    <n v="41"/>
    <n v="98"/>
    <m/>
  </r>
  <r>
    <n v="5"/>
    <x v="4"/>
    <n v="9"/>
    <n v="21"/>
    <n v="98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2"/>
    <n v="98"/>
  </r>
  <r>
    <x v="1"/>
    <x v="1"/>
    <n v="7"/>
    <n v="98"/>
  </r>
  <r>
    <x v="2"/>
    <x v="1"/>
    <n v="19"/>
    <n v="98"/>
  </r>
  <r>
    <x v="3"/>
    <x v="0"/>
    <n v="41"/>
    <n v="98"/>
  </r>
  <r>
    <x v="4"/>
    <x v="1"/>
    <n v="21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2D9AA-23D8-43BD-9CA0-174B07EE9E6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6"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ass" fld="2" baseField="0" baseItem="0"/>
    <dataField name="Sum of roll no" fld="3" baseField="0" baseItem="0"/>
    <dataField name="Sum of mark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AAE6E-EAD5-46CA-ACE6-AC57CC51CC3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3:X9" firstHeaderRow="0" firstDataRow="1" firstDataCol="1"/>
  <pivotFields count="4">
    <pivotField axis="axisRow" showAll="0">
      <items count="6">
        <item x="3"/>
        <item x="4"/>
        <item x="2"/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oll no" fld="2" baseField="0" baseItem="0"/>
    <dataField name="Sum of marks" fld="3" baseField="0" baseItem="0"/>
    <dataField name="Sum of class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4B1CB-C97E-40F8-ADF3-11CBC2D122B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Q7" firstHeaderRow="0" firstDataRow="1" firstDataCol="1"/>
  <pivotFields count="6"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ass" fld="2" baseField="0" baseItem="0"/>
    <dataField name="Sum of roll no" fld="3" baseField="0" baseItem="0"/>
    <dataField name="Sum of mark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58F96-5AB3-4F52-807D-B2E81CC57340}" name="Table1" displayName="Table1" ref="A1:F7" totalsRowCount="1">
  <autoFilter ref="A1:F6" xr:uid="{81F58F96-5AB3-4F52-807D-B2E81CC57340}"/>
  <tableColumns count="6">
    <tableColumn id="1" xr3:uid="{33924651-CD84-41E4-828F-4144AA6E5FEE}" name="s.no" totalsRowLabel="MEAN"/>
    <tableColumn id="2" xr3:uid="{5EA05C2C-B36D-43AF-8325-00030BD85A68}" name="name"/>
    <tableColumn id="3" xr3:uid="{EF3F9CC1-4DC4-4486-8BA5-E7925D01FE0E}" name="class" totalsRowFunction="custom">
      <totalsRowFormula>SUM(C2:C6)/COUNT(C2:C6)</totalsRowFormula>
    </tableColumn>
    <tableColumn id="4" xr3:uid="{6ED2E32E-CA21-4586-A16C-CB102933AAE1}" name="roll no"/>
    <tableColumn id="5" xr3:uid="{DB6E122E-4B3E-429F-B35B-141F2A55E442}" name="marks"/>
    <tableColumn id="6" xr3:uid="{C63AB7C3-3249-472B-BA07-F28E794D4EB2}" name="Column1" totalsRowFunction="custom">
      <totalsRowFormula>AVERAGE(D1,D5)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2EDF-7DA4-464F-9390-454E2F14B92A}">
  <dimension ref="A1:I18"/>
  <sheetViews>
    <sheetView workbookViewId="0">
      <selection activeCell="I21" sqref="A1:I21"/>
    </sheetView>
  </sheetViews>
  <sheetFormatPr defaultRowHeight="15" x14ac:dyDescent="0.25"/>
  <sheetData>
    <row r="1" spans="1:9" x14ac:dyDescent="0.25">
      <c r="A1" t="s">
        <v>17</v>
      </c>
    </row>
    <row r="2" spans="1:9" ht="15.75" thickBot="1" x14ac:dyDescent="0.3"/>
    <row r="3" spans="1:9" x14ac:dyDescent="0.25">
      <c r="A3" s="4" t="s">
        <v>18</v>
      </c>
      <c r="B3" s="4"/>
    </row>
    <row r="4" spans="1:9" x14ac:dyDescent="0.25">
      <c r="A4" s="1" t="s">
        <v>19</v>
      </c>
      <c r="B4" s="1">
        <v>1</v>
      </c>
    </row>
    <row r="5" spans="1:9" x14ac:dyDescent="0.25">
      <c r="A5" s="1" t="s">
        <v>20</v>
      </c>
      <c r="B5" s="1">
        <v>1</v>
      </c>
    </row>
    <row r="6" spans="1:9" x14ac:dyDescent="0.25">
      <c r="A6" s="1" t="s">
        <v>21</v>
      </c>
      <c r="B6" s="1">
        <v>1</v>
      </c>
    </row>
    <row r="7" spans="1:9" x14ac:dyDescent="0.25">
      <c r="A7" s="1" t="s">
        <v>22</v>
      </c>
      <c r="B7" s="1">
        <v>0</v>
      </c>
    </row>
    <row r="8" spans="1:9" ht="15.75" thickBot="1" x14ac:dyDescent="0.3">
      <c r="A8" s="2" t="s">
        <v>23</v>
      </c>
      <c r="B8" s="2">
        <v>5</v>
      </c>
    </row>
    <row r="10" spans="1:9" ht="15.75" thickBot="1" x14ac:dyDescent="0.3">
      <c r="A10" t="s">
        <v>24</v>
      </c>
    </row>
    <row r="11" spans="1:9" x14ac:dyDescent="0.25">
      <c r="A11" s="3"/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</row>
    <row r="12" spans="1:9" x14ac:dyDescent="0.25">
      <c r="A12" s="1" t="s">
        <v>25</v>
      </c>
      <c r="B12" s="1">
        <v>1</v>
      </c>
      <c r="C12" s="1">
        <v>0</v>
      </c>
      <c r="D12" s="1">
        <v>0</v>
      </c>
      <c r="E12" s="1" t="e">
        <v>#NUM!</v>
      </c>
      <c r="F12" s="1" t="e">
        <v>#NUM!</v>
      </c>
    </row>
    <row r="13" spans="1:9" x14ac:dyDescent="0.25">
      <c r="A13" s="1" t="s">
        <v>26</v>
      </c>
      <c r="B13" s="1">
        <v>3</v>
      </c>
      <c r="C13" s="1">
        <v>0</v>
      </c>
      <c r="D13" s="1">
        <v>0</v>
      </c>
      <c r="E13" s="1"/>
      <c r="F13" s="1"/>
    </row>
    <row r="14" spans="1:9" ht="15.75" thickBot="1" x14ac:dyDescent="0.3">
      <c r="A14" s="2" t="s">
        <v>27</v>
      </c>
      <c r="B14" s="2">
        <v>4</v>
      </c>
      <c r="C14" s="2">
        <v>0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34</v>
      </c>
      <c r="C16" s="3" t="s">
        <v>22</v>
      </c>
      <c r="D16" s="3" t="s">
        <v>35</v>
      </c>
      <c r="E16" s="3" t="s">
        <v>36</v>
      </c>
      <c r="F16" s="3" t="s">
        <v>37</v>
      </c>
      <c r="G16" s="3" t="s">
        <v>38</v>
      </c>
      <c r="H16" s="3" t="s">
        <v>39</v>
      </c>
      <c r="I16" s="3" t="s">
        <v>40</v>
      </c>
    </row>
    <row r="17" spans="1:9" x14ac:dyDescent="0.25">
      <c r="A17" s="1" t="s">
        <v>28</v>
      </c>
      <c r="B17" s="1">
        <v>98</v>
      </c>
      <c r="C17" s="1">
        <v>0</v>
      </c>
      <c r="D17" s="1">
        <v>65535</v>
      </c>
      <c r="E17" s="1" t="e">
        <v>#NUM!</v>
      </c>
      <c r="F17" s="1">
        <v>98</v>
      </c>
      <c r="G17" s="1">
        <v>98</v>
      </c>
      <c r="H17" s="1">
        <v>98</v>
      </c>
      <c r="I17" s="1">
        <v>98</v>
      </c>
    </row>
    <row r="18" spans="1:9" ht="15.75" thickBot="1" x14ac:dyDescent="0.3">
      <c r="A18" s="2" t="s">
        <v>41</v>
      </c>
      <c r="B18" s="2">
        <v>0</v>
      </c>
      <c r="C18" s="2">
        <v>0</v>
      </c>
      <c r="D18" s="2">
        <v>65535</v>
      </c>
      <c r="E18" s="2" t="e">
        <v>#NUM!</v>
      </c>
      <c r="F18" s="2">
        <v>0</v>
      </c>
      <c r="G18" s="2">
        <v>0</v>
      </c>
      <c r="H18" s="2">
        <v>0</v>
      </c>
      <c r="I18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F1E2-1BC4-4534-A1D9-4A31EF8B71D1}">
  <dimension ref="A1"/>
  <sheetViews>
    <sheetView workbookViewId="0">
      <selection sqref="A1:B1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2F2B-D187-4385-A7FE-E13B6E837694}">
  <dimension ref="A3:D9"/>
  <sheetViews>
    <sheetView workbookViewId="0">
      <selection activeCell="A3" sqref="A3:D9"/>
    </sheetView>
  </sheetViews>
  <sheetFormatPr defaultRowHeight="15" x14ac:dyDescent="0.25"/>
  <cols>
    <col min="1" max="1" width="13.140625" bestFit="1" customWidth="1"/>
    <col min="2" max="2" width="11.7109375" bestFit="1" customWidth="1"/>
    <col min="3" max="3" width="13.42578125" bestFit="1" customWidth="1"/>
    <col min="4" max="4" width="12.85546875" bestFit="1" customWidth="1"/>
    <col min="5" max="5" width="15.5703125" bestFit="1" customWidth="1"/>
    <col min="6" max="6" width="11.28515625" bestFit="1" customWidth="1"/>
  </cols>
  <sheetData>
    <row r="3" spans="1:4" x14ac:dyDescent="0.25">
      <c r="A3" s="6" t="s">
        <v>58</v>
      </c>
      <c r="B3" t="s">
        <v>60</v>
      </c>
      <c r="C3" t="s">
        <v>61</v>
      </c>
      <c r="D3" t="s">
        <v>62</v>
      </c>
    </row>
    <row r="4" spans="1:4" x14ac:dyDescent="0.25">
      <c r="A4" s="7" t="s">
        <v>7</v>
      </c>
      <c r="B4" s="8">
        <v>10</v>
      </c>
      <c r="C4" s="8">
        <v>41</v>
      </c>
      <c r="D4" s="8">
        <v>98</v>
      </c>
    </row>
    <row r="5" spans="1:4" x14ac:dyDescent="0.25">
      <c r="A5" s="7" t="s">
        <v>8</v>
      </c>
      <c r="B5" s="8">
        <v>9</v>
      </c>
      <c r="C5" s="8">
        <v>21</v>
      </c>
      <c r="D5" s="8">
        <v>98</v>
      </c>
    </row>
    <row r="6" spans="1:4" x14ac:dyDescent="0.25">
      <c r="A6" s="7" t="s">
        <v>6</v>
      </c>
      <c r="B6" s="8">
        <v>9</v>
      </c>
      <c r="C6" s="8">
        <v>19</v>
      </c>
      <c r="D6" s="8">
        <v>98</v>
      </c>
    </row>
    <row r="7" spans="1:4" x14ac:dyDescent="0.25">
      <c r="A7" s="7" t="s">
        <v>5</v>
      </c>
      <c r="B7" s="8">
        <v>9</v>
      </c>
      <c r="C7" s="8">
        <v>7</v>
      </c>
      <c r="D7" s="8">
        <v>98</v>
      </c>
    </row>
    <row r="8" spans="1:4" x14ac:dyDescent="0.25">
      <c r="A8" s="7" t="s">
        <v>4</v>
      </c>
      <c r="B8" s="8">
        <v>10</v>
      </c>
      <c r="C8" s="8">
        <v>2</v>
      </c>
      <c r="D8" s="8">
        <v>98</v>
      </c>
    </row>
    <row r="9" spans="1:4" x14ac:dyDescent="0.25">
      <c r="A9" s="7" t="s">
        <v>59</v>
      </c>
      <c r="B9" s="8">
        <v>47</v>
      </c>
      <c r="C9" s="8">
        <v>90</v>
      </c>
      <c r="D9" s="8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5E44-9361-408A-B815-DFBB9E883BCA}">
  <dimension ref="A1:X26"/>
  <sheetViews>
    <sheetView tabSelected="1" workbookViewId="0">
      <selection activeCell="C2" activeCellId="1" sqref="D2:D6 C2:C6"/>
    </sheetView>
  </sheetViews>
  <sheetFormatPr defaultRowHeight="15" x14ac:dyDescent="0.25"/>
  <cols>
    <col min="21" max="21" width="13.140625" bestFit="1" customWidth="1"/>
    <col min="22" max="22" width="13.42578125" bestFit="1" customWidth="1"/>
    <col min="23" max="23" width="12.8554687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I1" t="s">
        <v>17</v>
      </c>
      <c r="N1" s="6" t="s">
        <v>58</v>
      </c>
      <c r="O1" s="6" t="s">
        <v>60</v>
      </c>
      <c r="P1" t="s">
        <v>61</v>
      </c>
      <c r="Q1" t="s">
        <v>62</v>
      </c>
    </row>
    <row r="2" spans="1:24" ht="15.75" thickBot="1" x14ac:dyDescent="0.3">
      <c r="A2">
        <v>1</v>
      </c>
      <c r="B2" t="s">
        <v>4</v>
      </c>
      <c r="C2">
        <v>10</v>
      </c>
      <c r="D2">
        <v>2</v>
      </c>
      <c r="E2">
        <v>98</v>
      </c>
      <c r="N2" s="7" t="s">
        <v>7</v>
      </c>
      <c r="O2" s="8">
        <v>10</v>
      </c>
      <c r="P2" s="8">
        <v>41</v>
      </c>
      <c r="Q2" s="8">
        <v>98</v>
      </c>
    </row>
    <row r="3" spans="1:24" x14ac:dyDescent="0.25">
      <c r="A3">
        <v>2</v>
      </c>
      <c r="B3" t="s">
        <v>5</v>
      </c>
      <c r="C3">
        <v>9</v>
      </c>
      <c r="D3">
        <v>7</v>
      </c>
      <c r="E3">
        <v>98</v>
      </c>
      <c r="G3" s="5"/>
      <c r="H3" s="5"/>
      <c r="I3" s="4" t="s">
        <v>18</v>
      </c>
      <c r="J3" s="4"/>
      <c r="N3" s="7" t="s">
        <v>8</v>
      </c>
      <c r="O3" s="8">
        <v>9</v>
      </c>
      <c r="P3" s="8">
        <v>21</v>
      </c>
      <c r="Q3" s="8">
        <v>98</v>
      </c>
      <c r="U3" s="6" t="s">
        <v>58</v>
      </c>
      <c r="V3" t="s">
        <v>61</v>
      </c>
      <c r="W3" t="s">
        <v>62</v>
      </c>
      <c r="X3" t="s">
        <v>60</v>
      </c>
    </row>
    <row r="4" spans="1:24" x14ac:dyDescent="0.25">
      <c r="A4">
        <v>3</v>
      </c>
      <c r="B4" t="s">
        <v>6</v>
      </c>
      <c r="C4">
        <v>9</v>
      </c>
      <c r="D4">
        <v>19</v>
      </c>
      <c r="E4">
        <v>98</v>
      </c>
      <c r="I4" s="1" t="s">
        <v>19</v>
      </c>
      <c r="J4" s="1">
        <v>1</v>
      </c>
      <c r="N4" s="7" t="s">
        <v>6</v>
      </c>
      <c r="O4" s="8">
        <v>9</v>
      </c>
      <c r="P4" s="8">
        <v>19</v>
      </c>
      <c r="Q4" s="8">
        <v>98</v>
      </c>
      <c r="U4" s="7" t="s">
        <v>7</v>
      </c>
      <c r="V4" s="8">
        <v>41</v>
      </c>
      <c r="W4" s="8">
        <v>98</v>
      </c>
      <c r="X4" s="8">
        <v>10</v>
      </c>
    </row>
    <row r="5" spans="1:24" x14ac:dyDescent="0.25">
      <c r="A5">
        <v>4</v>
      </c>
      <c r="B5" t="s">
        <v>7</v>
      </c>
      <c r="C5">
        <v>10</v>
      </c>
      <c r="D5">
        <v>41</v>
      </c>
      <c r="E5">
        <v>98</v>
      </c>
      <c r="I5" s="1" t="s">
        <v>20</v>
      </c>
      <c r="J5" s="1">
        <v>1</v>
      </c>
      <c r="N5" s="7" t="s">
        <v>5</v>
      </c>
      <c r="O5" s="8">
        <v>9</v>
      </c>
      <c r="P5" s="8">
        <v>7</v>
      </c>
      <c r="Q5" s="8">
        <v>98</v>
      </c>
      <c r="U5" s="7" t="s">
        <v>8</v>
      </c>
      <c r="V5" s="8">
        <v>21</v>
      </c>
      <c r="W5" s="8">
        <v>98</v>
      </c>
      <c r="X5" s="8">
        <v>9</v>
      </c>
    </row>
    <row r="6" spans="1:24" x14ac:dyDescent="0.25">
      <c r="A6">
        <v>5</v>
      </c>
      <c r="B6" t="s">
        <v>8</v>
      </c>
      <c r="C6">
        <v>9</v>
      </c>
      <c r="D6">
        <v>21</v>
      </c>
      <c r="E6">
        <v>98</v>
      </c>
      <c r="F6">
        <f>_xlfn.MODE.SNGL(C1:C6)</f>
        <v>9</v>
      </c>
      <c r="I6" s="1" t="s">
        <v>21</v>
      </c>
      <c r="J6" s="1">
        <v>1</v>
      </c>
      <c r="N6" s="7" t="s">
        <v>4</v>
      </c>
      <c r="O6" s="8">
        <v>10</v>
      </c>
      <c r="P6" s="8">
        <v>2</v>
      </c>
      <c r="Q6" s="8">
        <v>98</v>
      </c>
      <c r="U6" s="7" t="s">
        <v>6</v>
      </c>
      <c r="V6" s="8">
        <v>19</v>
      </c>
      <c r="W6" s="8">
        <v>98</v>
      </c>
      <c r="X6" s="8">
        <v>9</v>
      </c>
    </row>
    <row r="7" spans="1:24" x14ac:dyDescent="0.25">
      <c r="A7" t="s">
        <v>11</v>
      </c>
      <c r="C7">
        <f>SUM(C2:C6)/COUNT(C2:C6)</f>
        <v>9.4</v>
      </c>
      <c r="F7">
        <f>AVERAGE(D1,D5)</f>
        <v>41</v>
      </c>
      <c r="I7" s="1" t="s">
        <v>22</v>
      </c>
      <c r="J7" s="1">
        <v>0</v>
      </c>
      <c r="N7" s="7" t="s">
        <v>59</v>
      </c>
      <c r="O7" s="8">
        <v>47</v>
      </c>
      <c r="P7" s="8">
        <v>90</v>
      </c>
      <c r="Q7" s="8">
        <v>490</v>
      </c>
      <c r="U7" s="7" t="s">
        <v>5</v>
      </c>
      <c r="V7" s="8">
        <v>7</v>
      </c>
      <c r="W7" s="8">
        <v>98</v>
      </c>
      <c r="X7" s="8">
        <v>9</v>
      </c>
    </row>
    <row r="8" spans="1:24" ht="15.75" thickBot="1" x14ac:dyDescent="0.3">
      <c r="A8" t="s">
        <v>13</v>
      </c>
      <c r="C8">
        <f>MEDIAN(C2:C6)</f>
        <v>9</v>
      </c>
      <c r="F8" t="e" vm="1">
        <f>_xleta.SUM</f>
        <v>#VALUE!</v>
      </c>
      <c r="I8" s="2" t="s">
        <v>23</v>
      </c>
      <c r="J8" s="2">
        <v>5</v>
      </c>
      <c r="S8" t="s">
        <v>57</v>
      </c>
      <c r="U8" s="7" t="s">
        <v>4</v>
      </c>
      <c r="V8" s="8">
        <v>2</v>
      </c>
      <c r="W8" s="8">
        <v>98</v>
      </c>
      <c r="X8" s="8">
        <v>10</v>
      </c>
    </row>
    <row r="9" spans="1:24" x14ac:dyDescent="0.25">
      <c r="A9" t="s">
        <v>14</v>
      </c>
      <c r="C9">
        <f>MAX(C2:C6)-MIN(C2:C6)</f>
        <v>1</v>
      </c>
      <c r="S9" s="4" t="s">
        <v>10</v>
      </c>
      <c r="T9" s="4"/>
      <c r="U9" s="7" t="s">
        <v>59</v>
      </c>
      <c r="V9" s="8">
        <v>90</v>
      </c>
      <c r="W9" s="8">
        <v>490</v>
      </c>
      <c r="X9" s="8">
        <v>47</v>
      </c>
    </row>
    <row r="10" spans="1:24" ht="15.75" thickBot="1" x14ac:dyDescent="0.3">
      <c r="A10" t="s">
        <v>12</v>
      </c>
      <c r="C10">
        <f>_xlfn.MODE.SNGL(C2:C6)</f>
        <v>9</v>
      </c>
      <c r="D10">
        <f>MAX(D2:D6)-MIN(D2:D6)</f>
        <v>39</v>
      </c>
      <c r="I10" t="s">
        <v>24</v>
      </c>
      <c r="S10" s="1"/>
      <c r="T10" s="1"/>
    </row>
    <row r="11" spans="1:24" x14ac:dyDescent="0.25">
      <c r="A11" t="s">
        <v>15</v>
      </c>
      <c r="D11">
        <f>_xlfn.VAR.P(D2:D6)</f>
        <v>183.2</v>
      </c>
      <c r="I11" s="3"/>
      <c r="J11" s="3" t="s">
        <v>29</v>
      </c>
      <c r="K11" s="3" t="s">
        <v>30</v>
      </c>
      <c r="L11" s="3" t="s">
        <v>31</v>
      </c>
      <c r="M11" s="3" t="s">
        <v>32</v>
      </c>
      <c r="N11" s="3" t="s">
        <v>33</v>
      </c>
      <c r="S11" s="1" t="s">
        <v>42</v>
      </c>
      <c r="T11" s="1">
        <v>9.4</v>
      </c>
    </row>
    <row r="12" spans="1:24" x14ac:dyDescent="0.25">
      <c r="A12" t="s">
        <v>16</v>
      </c>
      <c r="D12">
        <f>_xlfn.STDEV.P(D2:D6)</f>
        <v>13.535139452550904</v>
      </c>
      <c r="I12" s="1" t="s">
        <v>25</v>
      </c>
      <c r="J12" s="1">
        <v>1</v>
      </c>
      <c r="K12" s="1">
        <v>0</v>
      </c>
      <c r="L12" s="1">
        <v>0</v>
      </c>
      <c r="M12" s="1" t="e">
        <v>#NUM!</v>
      </c>
      <c r="N12" s="1" t="e">
        <v>#NUM!</v>
      </c>
      <c r="S12" s="1" t="s">
        <v>22</v>
      </c>
      <c r="T12" s="1">
        <v>0.24494897427831783</v>
      </c>
    </row>
    <row r="13" spans="1:24" x14ac:dyDescent="0.25">
      <c r="D13" t="e">
        <f>CORREL(E2:E6,D2:D6)</f>
        <v>#DIV/0!</v>
      </c>
      <c r="I13" s="1" t="s">
        <v>26</v>
      </c>
      <c r="J13" s="1">
        <v>3</v>
      </c>
      <c r="K13" s="1">
        <v>0</v>
      </c>
      <c r="L13" s="1">
        <v>0</v>
      </c>
      <c r="M13" s="1"/>
      <c r="N13" s="1"/>
      <c r="S13" s="1" t="s">
        <v>43</v>
      </c>
      <c r="T13" s="1">
        <v>9</v>
      </c>
    </row>
    <row r="14" spans="1:24" ht="15.75" thickBot="1" x14ac:dyDescent="0.3">
      <c r="I14" s="2" t="s">
        <v>27</v>
      </c>
      <c r="J14" s="2">
        <v>4</v>
      </c>
      <c r="K14" s="2">
        <v>0</v>
      </c>
      <c r="L14" s="2"/>
      <c r="M14" s="2"/>
      <c r="N14" s="2"/>
      <c r="S14" s="1" t="s">
        <v>44</v>
      </c>
      <c r="T14" s="1">
        <v>9</v>
      </c>
    </row>
    <row r="15" spans="1:24" ht="15.75" thickBot="1" x14ac:dyDescent="0.3">
      <c r="S15" s="1" t="s">
        <v>45</v>
      </c>
      <c r="T15" s="1">
        <v>0.54772255750516619</v>
      </c>
    </row>
    <row r="16" spans="1:24" x14ac:dyDescent="0.25">
      <c r="I16" s="3"/>
      <c r="J16" s="3" t="s">
        <v>34</v>
      </c>
      <c r="K16" s="3" t="s">
        <v>22</v>
      </c>
      <c r="L16" s="3" t="s">
        <v>35</v>
      </c>
      <c r="M16" s="3" t="s">
        <v>36</v>
      </c>
      <c r="N16" s="3" t="s">
        <v>37</v>
      </c>
      <c r="O16" s="3" t="s">
        <v>38</v>
      </c>
      <c r="P16" s="3" t="s">
        <v>39</v>
      </c>
      <c r="Q16" s="3" t="s">
        <v>40</v>
      </c>
      <c r="S16" s="1" t="s">
        <v>46</v>
      </c>
      <c r="T16" s="1">
        <v>0.30000000000000004</v>
      </c>
    </row>
    <row r="17" spans="9:20" x14ac:dyDescent="0.25">
      <c r="I17" s="1" t="s">
        <v>28</v>
      </c>
      <c r="J17" s="1">
        <v>98</v>
      </c>
      <c r="K17" s="1">
        <v>0</v>
      </c>
      <c r="L17" s="1">
        <v>65535</v>
      </c>
      <c r="M17" s="1" t="e">
        <v>#NUM!</v>
      </c>
      <c r="N17" s="1">
        <v>98</v>
      </c>
      <c r="O17" s="1">
        <v>98</v>
      </c>
      <c r="P17" s="1">
        <v>98</v>
      </c>
      <c r="Q17" s="1">
        <v>98</v>
      </c>
      <c r="S17" s="1" t="s">
        <v>47</v>
      </c>
      <c r="T17" s="1">
        <v>-3.3333333333333401</v>
      </c>
    </row>
    <row r="18" spans="9:20" ht="15.75" thickBot="1" x14ac:dyDescent="0.3">
      <c r="I18" s="2" t="s">
        <v>41</v>
      </c>
      <c r="J18" s="2">
        <v>0</v>
      </c>
      <c r="K18" s="2">
        <v>0</v>
      </c>
      <c r="L18" s="2">
        <v>65535</v>
      </c>
      <c r="M18" s="2" t="e">
        <v>#NUM!</v>
      </c>
      <c r="N18" s="2">
        <v>0</v>
      </c>
      <c r="O18" s="2">
        <v>0</v>
      </c>
      <c r="P18" s="2">
        <v>0</v>
      </c>
      <c r="Q18" s="2">
        <v>0</v>
      </c>
      <c r="S18" s="1" t="s">
        <v>48</v>
      </c>
      <c r="T18" s="1">
        <v>0.60858061945018138</v>
      </c>
    </row>
    <row r="19" spans="9:20" x14ac:dyDescent="0.25">
      <c r="S19" s="1" t="s">
        <v>49</v>
      </c>
      <c r="T19" s="1">
        <v>1</v>
      </c>
    </row>
    <row r="20" spans="9:20" x14ac:dyDescent="0.25">
      <c r="S20" s="1" t="s">
        <v>50</v>
      </c>
      <c r="T20" s="1">
        <v>9</v>
      </c>
    </row>
    <row r="21" spans="9:20" x14ac:dyDescent="0.25">
      <c r="S21" s="1" t="s">
        <v>51</v>
      </c>
      <c r="T21" s="1">
        <v>10</v>
      </c>
    </row>
    <row r="22" spans="9:20" x14ac:dyDescent="0.25">
      <c r="S22" s="1" t="s">
        <v>52</v>
      </c>
      <c r="T22" s="1">
        <v>47</v>
      </c>
    </row>
    <row r="23" spans="9:20" x14ac:dyDescent="0.25">
      <c r="S23" s="1" t="s">
        <v>53</v>
      </c>
      <c r="T23" s="1">
        <v>5</v>
      </c>
    </row>
    <row r="24" spans="9:20" x14ac:dyDescent="0.25">
      <c r="S24" s="1" t="s">
        <v>54</v>
      </c>
      <c r="T24" s="1">
        <v>10</v>
      </c>
    </row>
    <row r="25" spans="9:20" x14ac:dyDescent="0.25">
      <c r="S25" s="1" t="s">
        <v>55</v>
      </c>
      <c r="T25" s="1">
        <v>9</v>
      </c>
    </row>
    <row r="26" spans="9:20" ht="15.75" thickBot="1" x14ac:dyDescent="0.3">
      <c r="S26" s="2" t="s">
        <v>56</v>
      </c>
      <c r="T26" s="2">
        <v>0.68008738065825558</v>
      </c>
    </row>
  </sheetData>
  <mergeCells count="1">
    <mergeCell ref="G3:H3"/>
  </mergeCells>
  <phoneticPr fontId="2" type="noConversion"/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2026-05-26T08:31:01Z</dcterms:created>
  <dcterms:modified xsi:type="dcterms:W3CDTF">2026-05-26T10:26:16Z</dcterms:modified>
</cp:coreProperties>
</file>